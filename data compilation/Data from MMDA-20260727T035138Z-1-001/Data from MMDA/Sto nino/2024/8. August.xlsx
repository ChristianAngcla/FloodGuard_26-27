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Sto. Niño 2024\"/>
    </mc:Choice>
  </mc:AlternateContent>
  <xr:revisionPtr revIDLastSave="0" documentId="8_{0E106C0C-54C6-4D68-85F5-6EDCB8CE42F6}" xr6:coauthVersionLast="47" xr6:coauthVersionMax="47" xr10:uidLastSave="{00000000-0000-0000-0000-000000000000}"/>
  <bookViews>
    <workbookView xWindow="-108" yWindow="-108" windowWidth="23256" windowHeight="12456" xr2:uid="{BAC8927D-ADEA-409C-8559-23B0159F8B25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AB7" i="1"/>
  <c r="Z10" i="1"/>
  <c r="AC12" i="1"/>
  <c r="AB15" i="1"/>
  <c r="Z18" i="1"/>
  <c r="AC20" i="1"/>
  <c r="AB23" i="1"/>
  <c r="Z26" i="1"/>
  <c r="AC28" i="1"/>
  <c r="AB31" i="1"/>
  <c r="Z34" i="1"/>
  <c r="AC36" i="1"/>
  <c r="AC7" i="1"/>
  <c r="AC38" i="1" s="1"/>
  <c r="AB10" i="1"/>
  <c r="Z13" i="1"/>
  <c r="AC15" i="1"/>
  <c r="AB18" i="1"/>
  <c r="Z21" i="1"/>
  <c r="AC23" i="1"/>
  <c r="AB26" i="1"/>
  <c r="Z29" i="1"/>
  <c r="AC31" i="1"/>
  <c r="AB34" i="1"/>
  <c r="Z8" i="1"/>
  <c r="AB13" i="1"/>
  <c r="Z16" i="1"/>
  <c r="AB21" i="1"/>
  <c r="Z24" i="1"/>
  <c r="AB29" i="1"/>
  <c r="Z32" i="1"/>
  <c r="AB8" i="1"/>
  <c r="Z11" i="1"/>
  <c r="AB16" i="1"/>
  <c r="Z19" i="1"/>
  <c r="AB24" i="1"/>
  <c r="Z27" i="1"/>
  <c r="AB32" i="1"/>
  <c r="Z35" i="1"/>
  <c r="Z6" i="1"/>
  <c r="AB11" i="1"/>
  <c r="Z14" i="1"/>
  <c r="AB19" i="1"/>
  <c r="Z22" i="1"/>
  <c r="AB27" i="1"/>
  <c r="Z30" i="1"/>
  <c r="AB35" i="1"/>
  <c r="AB6" i="1"/>
  <c r="Z9" i="1"/>
  <c r="AB14" i="1"/>
  <c r="Z17" i="1"/>
  <c r="AB22" i="1"/>
  <c r="Z25" i="1"/>
  <c r="AB30" i="1"/>
  <c r="Z33" i="1"/>
  <c r="AB9" i="1"/>
  <c r="Z12" i="1"/>
  <c r="AB17" i="1"/>
  <c r="Z20" i="1"/>
  <c r="AB25" i="1"/>
  <c r="Z28" i="1"/>
  <c r="AB33" i="1"/>
  <c r="Z36" i="1"/>
  <c r="AB38" i="1" l="1"/>
  <c r="Z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<sst xmlns="http://schemas.openxmlformats.org/spreadsheetml/2006/main" count="18" uniqueCount="16">
  <si>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</si>
  <si>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</si>
  <si>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August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</si>
  <si>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</si>
  <si>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</si>
  <si>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</si>
  <si>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</si>
  <si>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</si>
  <si>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August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</si>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</sst>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B9559179-BC06-47F3-9566-E54C53B058ED}"/>
    <cellStyle name="Normal" xfId="0" builtinId="0"/>
    <cellStyle name="Normal 2" xfId="1" xr:uid="{9BCB4CA2-9F64-44D6-855F-A3FC62AC74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12.12</c:v>
                </c:pt>
                <c:pt idx="1">
                  <c:v>13.02</c:v>
                </c:pt>
                <c:pt idx="2">
                  <c:v>12.33</c:v>
                </c:pt>
                <c:pt idx="3">
                  <c:v>12</c:v>
                </c:pt>
                <c:pt idx="4">
                  <c:v>12.69</c:v>
                </c:pt>
                <c:pt idx="5">
                  <c:v>12.22</c:v>
                </c:pt>
                <c:pt idx="6">
                  <c:v>12.37</c:v>
                </c:pt>
                <c:pt idx="7">
                  <c:v>12.5</c:v>
                </c:pt>
                <c:pt idx="8">
                  <c:v>12.59</c:v>
                </c:pt>
                <c:pt idx="9">
                  <c:v>12.96</c:v>
                </c:pt>
                <c:pt idx="10">
                  <c:v>12.32</c:v>
                </c:pt>
                <c:pt idx="11">
                  <c:v>12.26</c:v>
                </c:pt>
                <c:pt idx="12">
                  <c:v>12.46</c:v>
                </c:pt>
                <c:pt idx="13">
                  <c:v>12.2</c:v>
                </c:pt>
                <c:pt idx="14">
                  <c:v>12.25</c:v>
                </c:pt>
                <c:pt idx="15">
                  <c:v>12.14</c:v>
                </c:pt>
                <c:pt idx="16">
                  <c:v>12.09</c:v>
                </c:pt>
                <c:pt idx="17">
                  <c:v>12.35</c:v>
                </c:pt>
                <c:pt idx="18">
                  <c:v>12.09</c:v>
                </c:pt>
                <c:pt idx="19">
                  <c:v>12.48</c:v>
                </c:pt>
                <c:pt idx="20">
                  <c:v>12.04</c:v>
                </c:pt>
                <c:pt idx="21">
                  <c:v>12.02</c:v>
                </c:pt>
                <c:pt idx="22">
                  <c:v>12.06</c:v>
                </c:pt>
                <c:pt idx="23">
                  <c:v>12.02</c:v>
                </c:pt>
                <c:pt idx="24">
                  <c:v>12.2</c:v>
                </c:pt>
                <c:pt idx="25">
                  <c:v>12.02</c:v>
                </c:pt>
                <c:pt idx="26">
                  <c:v>14.3</c:v>
                </c:pt>
                <c:pt idx="27">
                  <c:v>13.88</c:v>
                </c:pt>
                <c:pt idx="28">
                  <c:v>12.42</c:v>
                </c:pt>
                <c:pt idx="29">
                  <c:v>13.51</c:v>
                </c:pt>
                <c:pt idx="30">
                  <c:v>12.94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E-4551-A8E6-691E24F54984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11.87</c:v>
                </c:pt>
                <c:pt idx="1">
                  <c:v>11.9</c:v>
                </c:pt>
                <c:pt idx="2">
                  <c:v>11.9</c:v>
                </c:pt>
                <c:pt idx="3">
                  <c:v>11.84</c:v>
                </c:pt>
                <c:pt idx="4">
                  <c:v>11.9</c:v>
                </c:pt>
                <c:pt idx="5">
                  <c:v>12.01</c:v>
                </c:pt>
                <c:pt idx="6">
                  <c:v>12</c:v>
                </c:pt>
                <c:pt idx="7">
                  <c:v>12.19</c:v>
                </c:pt>
                <c:pt idx="8">
                  <c:v>12.2</c:v>
                </c:pt>
                <c:pt idx="9">
                  <c:v>11.82</c:v>
                </c:pt>
                <c:pt idx="10">
                  <c:v>12.21</c:v>
                </c:pt>
                <c:pt idx="11">
                  <c:v>12.14</c:v>
                </c:pt>
                <c:pt idx="12">
                  <c:v>12.11</c:v>
                </c:pt>
                <c:pt idx="13">
                  <c:v>12.07</c:v>
                </c:pt>
                <c:pt idx="14">
                  <c:v>12.09</c:v>
                </c:pt>
                <c:pt idx="15">
                  <c:v>12.07</c:v>
                </c:pt>
                <c:pt idx="16">
                  <c:v>12.03</c:v>
                </c:pt>
                <c:pt idx="17">
                  <c:v>12</c:v>
                </c:pt>
                <c:pt idx="18">
                  <c:v>11.98</c:v>
                </c:pt>
                <c:pt idx="19">
                  <c:v>11.97</c:v>
                </c:pt>
                <c:pt idx="20">
                  <c:v>11.95</c:v>
                </c:pt>
                <c:pt idx="21">
                  <c:v>11.91</c:v>
                </c:pt>
                <c:pt idx="22">
                  <c:v>11.89</c:v>
                </c:pt>
                <c:pt idx="23">
                  <c:v>11.89</c:v>
                </c:pt>
                <c:pt idx="24">
                  <c:v>11.88</c:v>
                </c:pt>
                <c:pt idx="25">
                  <c:v>11.89</c:v>
                </c:pt>
                <c:pt idx="26">
                  <c:v>11.9</c:v>
                </c:pt>
                <c:pt idx="27">
                  <c:v>12.44</c:v>
                </c:pt>
                <c:pt idx="28">
                  <c:v>12.19</c:v>
                </c:pt>
                <c:pt idx="29">
                  <c:v>12.16</c:v>
                </c:pt>
                <c:pt idx="30">
                  <c:v>12.07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0E-4551-A8E6-691E24F54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F291AAB-975B-485C-B451-FAD6C4352D55}"/>
            </a:ext>
          </a:extLst>
        </xdr:cNvPr>
        <xdr:cNvSpPr>
          <a:spLocks noChangeShapeType="1"/>
        </xdr:cNvSpPr>
      </xdr:nvSpPr>
      <xdr:spPr bwMode="auto">
        <a:xfrm>
          <a:off x="7620" y="937260"/>
          <a:ext cx="426720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5FA13C5-9213-48D4-A517-CD1923A059EE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2931393-C6B4-4CAB-822C-8A39878F2C5C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651BC0-1F44-4E80-922B-6423CB3BB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ED0728-3244-434B-8F91-BA3CE89A1BE1}"/>
            </a:ext>
          </a:extLst>
        </xdr:cNvPr>
        <xdr:cNvSpPr txBox="1"/>
      </xdr:nvSpPr>
      <xdr:spPr>
        <a:xfrm rot="16200000">
          <a:off x="12079470" y="3526292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66DBF27-32AE-48F1-A450-E0F7057C54D2}"/>
            </a:ext>
          </a:extLst>
        </xdr:cNvPr>
        <xdr:cNvSpPr txBox="1"/>
      </xdr:nvSpPr>
      <xdr:spPr>
        <a:xfrm>
          <a:off x="16070581" y="5819140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8.%20AUGUST%202024.xlsx" TargetMode="External"/><Relationship Id="rId1" Type="http://schemas.openxmlformats.org/officeDocument/2006/relationships/externalLinkPath" Target="/My%20Drive/EFCOS%20FILES/1.%20Rainfall%20and%20Waterlevel%20Data%20Sheet/2024/8.%20AUGUST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 1"/>
      <sheetName val="AUG 2"/>
      <sheetName val="AUG 3"/>
      <sheetName val="AUG 4"/>
      <sheetName val="AUG 5"/>
      <sheetName val="AUG 6"/>
      <sheetName val="AUG 7"/>
      <sheetName val="AUG 8"/>
      <sheetName val="AUG 9"/>
      <sheetName val="AUG 10"/>
      <sheetName val="AUG 11"/>
      <sheetName val="AUG 12"/>
      <sheetName val="AUG 13"/>
      <sheetName val="AUG 14"/>
      <sheetName val="AUG 15"/>
      <sheetName val="AUG 16"/>
      <sheetName val="AUG 17"/>
      <sheetName val="AUG 18"/>
      <sheetName val="AUG 19"/>
      <sheetName val="AUG 20"/>
      <sheetName val="AUG 21"/>
      <sheetName val="AUG 22"/>
      <sheetName val="AUG 23"/>
      <sheetName val="AUG 24"/>
      <sheetName val="AUG 25"/>
      <sheetName val="AUG 26"/>
      <sheetName val="AUG 27"/>
      <sheetName val="AUG 28"/>
      <sheetName val="AUG 29"/>
      <sheetName val="AUG 30"/>
      <sheetName val="AUG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3">
          <cell r="B33">
            <v>11.93</v>
          </cell>
          <cell r="C33">
            <v>11.93</v>
          </cell>
          <cell r="D33">
            <v>11.92</v>
          </cell>
          <cell r="E33">
            <v>11.91</v>
          </cell>
          <cell r="F33">
            <v>11.9</v>
          </cell>
          <cell r="G33">
            <v>11.88</v>
          </cell>
          <cell r="H33">
            <v>11.87</v>
          </cell>
          <cell r="I33">
            <v>11.88</v>
          </cell>
          <cell r="J33">
            <v>11.92</v>
          </cell>
          <cell r="K33">
            <v>12.02</v>
          </cell>
          <cell r="L33">
            <v>11.98</v>
          </cell>
          <cell r="M33">
            <v>12.11</v>
          </cell>
          <cell r="N33">
            <v>12.12</v>
          </cell>
          <cell r="O33">
            <v>12.01</v>
          </cell>
          <cell r="P33">
            <v>11.91</v>
          </cell>
          <cell r="Q33">
            <v>11.9</v>
          </cell>
          <cell r="R33">
            <v>11.9</v>
          </cell>
          <cell r="S33">
            <v>11.89</v>
          </cell>
          <cell r="T33">
            <v>11.89</v>
          </cell>
          <cell r="U33">
            <v>11.91</v>
          </cell>
          <cell r="V33">
            <v>11.92</v>
          </cell>
          <cell r="W33">
            <v>11.92</v>
          </cell>
          <cell r="X33">
            <v>11.94</v>
          </cell>
          <cell r="Y33">
            <v>11.93</v>
          </cell>
        </row>
      </sheetData>
      <sheetData sheetId="1">
        <row r="33">
          <cell r="B33">
            <v>11.92</v>
          </cell>
          <cell r="C33">
            <v>11.94</v>
          </cell>
          <cell r="D33">
            <v>11.92</v>
          </cell>
          <cell r="E33">
            <v>11.91</v>
          </cell>
          <cell r="F33">
            <v>11.91</v>
          </cell>
          <cell r="G33">
            <v>11.91</v>
          </cell>
          <cell r="H33">
            <v>11.92</v>
          </cell>
          <cell r="I33">
            <v>11.9</v>
          </cell>
          <cell r="J33">
            <v>12.02</v>
          </cell>
          <cell r="K33">
            <v>12.02</v>
          </cell>
          <cell r="L33">
            <v>12</v>
          </cell>
          <cell r="M33">
            <v>12.26</v>
          </cell>
          <cell r="N33">
            <v>13.02</v>
          </cell>
          <cell r="O33">
            <v>12.67</v>
          </cell>
          <cell r="P33">
            <v>12.28</v>
          </cell>
          <cell r="Q33">
            <v>12.06</v>
          </cell>
          <cell r="R33">
            <v>12.01</v>
          </cell>
          <cell r="S33">
            <v>11.98</v>
          </cell>
          <cell r="T33">
            <v>11.96</v>
          </cell>
          <cell r="U33">
            <v>11.95</v>
          </cell>
          <cell r="V33">
            <v>11.95</v>
          </cell>
          <cell r="W33">
            <v>11.94</v>
          </cell>
          <cell r="X33">
            <v>11.97</v>
          </cell>
          <cell r="Y33">
            <v>11.98</v>
          </cell>
        </row>
      </sheetData>
      <sheetData sheetId="2">
        <row r="32">
          <cell r="B32">
            <v>11.98</v>
          </cell>
          <cell r="C32">
            <v>11.98</v>
          </cell>
          <cell r="D32">
            <v>11.97</v>
          </cell>
          <cell r="E32">
            <v>11.96</v>
          </cell>
          <cell r="F32">
            <v>11.97</v>
          </cell>
          <cell r="G32">
            <v>11.96</v>
          </cell>
          <cell r="H32">
            <v>11.95</v>
          </cell>
          <cell r="I32">
            <v>12.16</v>
          </cell>
          <cell r="J32">
            <v>12.33</v>
          </cell>
          <cell r="K32">
            <v>12.11</v>
          </cell>
          <cell r="L32">
            <v>12</v>
          </cell>
          <cell r="M32">
            <v>11.98</v>
          </cell>
          <cell r="N32">
            <v>11.96</v>
          </cell>
          <cell r="O32">
            <v>11.95</v>
          </cell>
          <cell r="P32">
            <v>11.91</v>
          </cell>
          <cell r="Q32">
            <v>11.92</v>
          </cell>
          <cell r="R32">
            <v>11.93</v>
          </cell>
          <cell r="S32">
            <v>11.93</v>
          </cell>
          <cell r="T32">
            <v>11.92</v>
          </cell>
          <cell r="U32">
            <v>11.92</v>
          </cell>
          <cell r="V32">
            <v>11.91</v>
          </cell>
          <cell r="W32">
            <v>11.9</v>
          </cell>
          <cell r="X32">
            <v>11.91</v>
          </cell>
          <cell r="Y32">
            <v>11.92</v>
          </cell>
        </row>
      </sheetData>
      <sheetData sheetId="3">
        <row r="32">
          <cell r="B32">
            <v>11.92</v>
          </cell>
          <cell r="C32">
            <v>11.92</v>
          </cell>
          <cell r="D32">
            <v>11.92</v>
          </cell>
          <cell r="E32">
            <v>11.91</v>
          </cell>
          <cell r="F32">
            <v>11.9</v>
          </cell>
          <cell r="G32">
            <v>11.88</v>
          </cell>
          <cell r="H32">
            <v>11.88</v>
          </cell>
          <cell r="I32">
            <v>11.91</v>
          </cell>
          <cell r="J32">
            <v>11.89</v>
          </cell>
          <cell r="K32">
            <v>11.84</v>
          </cell>
          <cell r="L32">
            <v>11.87</v>
          </cell>
          <cell r="M32">
            <v>11.9</v>
          </cell>
          <cell r="N32">
            <v>11.9</v>
          </cell>
          <cell r="O32">
            <v>11.91</v>
          </cell>
          <cell r="P32">
            <v>11.92</v>
          </cell>
          <cell r="Q32">
            <v>11.95</v>
          </cell>
          <cell r="R32">
            <v>11.94</v>
          </cell>
          <cell r="S32">
            <v>11.93</v>
          </cell>
          <cell r="T32">
            <v>11.93</v>
          </cell>
          <cell r="U32">
            <v>11.95</v>
          </cell>
          <cell r="V32">
            <v>12</v>
          </cell>
          <cell r="W32">
            <v>11.98</v>
          </cell>
          <cell r="X32">
            <v>11.94</v>
          </cell>
          <cell r="Y32">
            <v>11.95</v>
          </cell>
        </row>
      </sheetData>
      <sheetData sheetId="4">
        <row r="32">
          <cell r="B32">
            <v>11.96</v>
          </cell>
          <cell r="C32">
            <v>11.96</v>
          </cell>
          <cell r="D32">
            <v>11.93</v>
          </cell>
          <cell r="E32">
            <v>11.92</v>
          </cell>
          <cell r="F32">
            <v>11.91</v>
          </cell>
          <cell r="G32">
            <v>11.92</v>
          </cell>
          <cell r="H32">
            <v>11.93</v>
          </cell>
          <cell r="I32">
            <v>11.9</v>
          </cell>
          <cell r="J32">
            <v>11.97</v>
          </cell>
          <cell r="K32">
            <v>11.97</v>
          </cell>
          <cell r="L32">
            <v>11.99</v>
          </cell>
          <cell r="M32">
            <v>12.45</v>
          </cell>
          <cell r="N32">
            <v>12.69</v>
          </cell>
          <cell r="O32">
            <v>12.6</v>
          </cell>
          <cell r="P32">
            <v>12.44</v>
          </cell>
          <cell r="Q32">
            <v>12.34</v>
          </cell>
          <cell r="R32">
            <v>12.29</v>
          </cell>
          <cell r="S32">
            <v>12.26</v>
          </cell>
          <cell r="T32">
            <v>12.24</v>
          </cell>
          <cell r="U32">
            <v>12.24</v>
          </cell>
          <cell r="V32">
            <v>12.23</v>
          </cell>
          <cell r="W32">
            <v>12.23</v>
          </cell>
          <cell r="X32">
            <v>12.22</v>
          </cell>
          <cell r="Y32">
            <v>12.22</v>
          </cell>
        </row>
      </sheetData>
      <sheetData sheetId="5">
        <row r="33">
          <cell r="B33">
            <v>12.22</v>
          </cell>
          <cell r="C33">
            <v>12.2</v>
          </cell>
          <cell r="D33">
            <v>12.2</v>
          </cell>
          <cell r="E33">
            <v>12.2</v>
          </cell>
          <cell r="F33">
            <v>12.18</v>
          </cell>
          <cell r="G33">
            <v>12.16</v>
          </cell>
          <cell r="H33">
            <v>12.15</v>
          </cell>
          <cell r="I33">
            <v>12.13</v>
          </cell>
          <cell r="J33">
            <v>12.12</v>
          </cell>
          <cell r="K33">
            <v>12.11</v>
          </cell>
          <cell r="L33">
            <v>12.11</v>
          </cell>
          <cell r="M33">
            <v>12.11</v>
          </cell>
          <cell r="N33">
            <v>12.08</v>
          </cell>
          <cell r="O33">
            <v>12.09</v>
          </cell>
          <cell r="P33">
            <v>12.07</v>
          </cell>
          <cell r="Q33">
            <v>12.06</v>
          </cell>
          <cell r="R33">
            <v>12.05</v>
          </cell>
          <cell r="S33">
            <v>12.04</v>
          </cell>
          <cell r="T33">
            <v>12.02</v>
          </cell>
          <cell r="U33">
            <v>12.02</v>
          </cell>
          <cell r="V33">
            <v>12.02</v>
          </cell>
          <cell r="W33">
            <v>12.02</v>
          </cell>
          <cell r="X33">
            <v>12.02</v>
          </cell>
          <cell r="Y33">
            <v>12.01</v>
          </cell>
        </row>
      </sheetData>
      <sheetData sheetId="6">
        <row r="33">
          <cell r="B33">
            <v>12</v>
          </cell>
          <cell r="C33">
            <v>12.01</v>
          </cell>
          <cell r="D33">
            <v>12.01</v>
          </cell>
          <cell r="E33">
            <v>12.32</v>
          </cell>
          <cell r="F33">
            <v>12.31</v>
          </cell>
          <cell r="G33">
            <v>12.31</v>
          </cell>
          <cell r="H33">
            <v>12.28</v>
          </cell>
          <cell r="I33">
            <v>12.25</v>
          </cell>
          <cell r="J33">
            <v>12.26</v>
          </cell>
          <cell r="K33">
            <v>12.25</v>
          </cell>
          <cell r="L33">
            <v>12.25</v>
          </cell>
          <cell r="M33">
            <v>12.25</v>
          </cell>
          <cell r="N33">
            <v>12.26</v>
          </cell>
          <cell r="O33">
            <v>12.26</v>
          </cell>
          <cell r="P33">
            <v>12.25</v>
          </cell>
          <cell r="Q33">
            <v>12.25</v>
          </cell>
          <cell r="R33">
            <v>12.25</v>
          </cell>
          <cell r="S33">
            <v>12.26</v>
          </cell>
          <cell r="T33">
            <v>12.26</v>
          </cell>
          <cell r="U33">
            <v>12.35</v>
          </cell>
          <cell r="V33">
            <v>12.37</v>
          </cell>
          <cell r="W33">
            <v>12.3</v>
          </cell>
          <cell r="X33">
            <v>12.27</v>
          </cell>
          <cell r="Y33">
            <v>12.29</v>
          </cell>
        </row>
      </sheetData>
      <sheetData sheetId="7">
        <row r="33">
          <cell r="B33">
            <v>12.28</v>
          </cell>
          <cell r="C33">
            <v>12.31</v>
          </cell>
          <cell r="D33">
            <v>12.35</v>
          </cell>
          <cell r="E33">
            <v>12.5</v>
          </cell>
          <cell r="F33">
            <v>12.24</v>
          </cell>
          <cell r="G33">
            <v>12.22</v>
          </cell>
          <cell r="H33">
            <v>12.22</v>
          </cell>
          <cell r="I33">
            <v>12.19</v>
          </cell>
          <cell r="J33">
            <v>12.22</v>
          </cell>
          <cell r="K33">
            <v>12.21</v>
          </cell>
          <cell r="L33">
            <v>12.21</v>
          </cell>
          <cell r="M33">
            <v>12.3</v>
          </cell>
          <cell r="N33">
            <v>12.25</v>
          </cell>
          <cell r="O33">
            <v>12.22</v>
          </cell>
          <cell r="P33">
            <v>12.22</v>
          </cell>
          <cell r="Q33">
            <v>12.21</v>
          </cell>
          <cell r="R33">
            <v>12.22</v>
          </cell>
          <cell r="S33">
            <v>12.28</v>
          </cell>
          <cell r="T33">
            <v>12.25</v>
          </cell>
          <cell r="U33">
            <v>12.23</v>
          </cell>
          <cell r="V33">
            <v>12.21</v>
          </cell>
          <cell r="W33">
            <v>12.21</v>
          </cell>
          <cell r="X33">
            <v>12.22</v>
          </cell>
          <cell r="Y33">
            <v>12.23</v>
          </cell>
        </row>
      </sheetData>
      <sheetData sheetId="8">
        <row r="33">
          <cell r="B33">
            <v>12.23</v>
          </cell>
          <cell r="C33">
            <v>12.24</v>
          </cell>
          <cell r="D33">
            <v>12.25</v>
          </cell>
          <cell r="E33">
            <v>12.24</v>
          </cell>
          <cell r="F33">
            <v>12.22</v>
          </cell>
          <cell r="G33">
            <v>12.22</v>
          </cell>
          <cell r="H33">
            <v>12.23</v>
          </cell>
          <cell r="I33">
            <v>12.2</v>
          </cell>
          <cell r="J33">
            <v>12.24</v>
          </cell>
          <cell r="K33">
            <v>12.21</v>
          </cell>
          <cell r="L33">
            <v>12.22</v>
          </cell>
          <cell r="M33">
            <v>12.23</v>
          </cell>
          <cell r="N33">
            <v>12.26</v>
          </cell>
          <cell r="O33">
            <v>12.26</v>
          </cell>
          <cell r="P33">
            <v>12.26</v>
          </cell>
          <cell r="Q33">
            <v>12.26</v>
          </cell>
          <cell r="R33">
            <v>12.26</v>
          </cell>
          <cell r="S33">
            <v>12.26</v>
          </cell>
          <cell r="T33">
            <v>12.26</v>
          </cell>
          <cell r="U33">
            <v>12.31</v>
          </cell>
          <cell r="V33">
            <v>12.31</v>
          </cell>
          <cell r="W33">
            <v>12.49</v>
          </cell>
          <cell r="X33">
            <v>12.59</v>
          </cell>
          <cell r="Y33">
            <v>12.45</v>
          </cell>
        </row>
      </sheetData>
      <sheetData sheetId="9">
        <row r="33">
          <cell r="B33">
            <v>12.41</v>
          </cell>
          <cell r="C33">
            <v>12.4</v>
          </cell>
          <cell r="D33">
            <v>12.4</v>
          </cell>
          <cell r="E33">
            <v>12.51</v>
          </cell>
          <cell r="F33">
            <v>12.96</v>
          </cell>
          <cell r="G33">
            <v>11.82</v>
          </cell>
          <cell r="H33">
            <v>12.65</v>
          </cell>
          <cell r="I33">
            <v>12.53</v>
          </cell>
          <cell r="J33">
            <v>12.46</v>
          </cell>
          <cell r="K33">
            <v>12.44</v>
          </cell>
          <cell r="L33">
            <v>12.47</v>
          </cell>
          <cell r="M33">
            <v>12.47</v>
          </cell>
          <cell r="N33">
            <v>12.4</v>
          </cell>
          <cell r="O33">
            <v>12.38</v>
          </cell>
          <cell r="P33">
            <v>12.37</v>
          </cell>
          <cell r="Q33">
            <v>12.4</v>
          </cell>
          <cell r="R33">
            <v>12.39</v>
          </cell>
          <cell r="S33">
            <v>12.38</v>
          </cell>
          <cell r="T33">
            <v>12.35</v>
          </cell>
          <cell r="U33">
            <v>12.33</v>
          </cell>
          <cell r="V33">
            <v>12.32</v>
          </cell>
          <cell r="W33">
            <v>12.32</v>
          </cell>
          <cell r="X33">
            <v>12.32</v>
          </cell>
          <cell r="Y33">
            <v>12.31</v>
          </cell>
        </row>
      </sheetData>
      <sheetData sheetId="10">
        <row r="33">
          <cell r="B33">
            <v>12.32</v>
          </cell>
          <cell r="C33">
            <v>12.31</v>
          </cell>
          <cell r="D33">
            <v>12.31</v>
          </cell>
          <cell r="E33">
            <v>12.3</v>
          </cell>
          <cell r="F33">
            <v>12.3</v>
          </cell>
          <cell r="G33">
            <v>12.29</v>
          </cell>
          <cell r="H33">
            <v>12.28</v>
          </cell>
          <cell r="I33">
            <v>12.29</v>
          </cell>
          <cell r="J33">
            <v>12.27</v>
          </cell>
          <cell r="K33">
            <v>12.26</v>
          </cell>
          <cell r="L33">
            <v>12.27</v>
          </cell>
          <cell r="M33">
            <v>12.26</v>
          </cell>
          <cell r="N33">
            <v>12.27</v>
          </cell>
          <cell r="O33">
            <v>12.27</v>
          </cell>
          <cell r="P33">
            <v>12.26</v>
          </cell>
          <cell r="Q33">
            <v>12.29</v>
          </cell>
          <cell r="R33">
            <v>12.31</v>
          </cell>
          <cell r="S33">
            <v>12.28</v>
          </cell>
          <cell r="T33">
            <v>12.27</v>
          </cell>
          <cell r="U33">
            <v>12.23</v>
          </cell>
          <cell r="V33">
            <v>12.21</v>
          </cell>
          <cell r="W33">
            <v>12.22</v>
          </cell>
          <cell r="X33">
            <v>12.22</v>
          </cell>
          <cell r="Y33">
            <v>12.22</v>
          </cell>
        </row>
      </sheetData>
      <sheetData sheetId="11">
        <row r="33">
          <cell r="B33">
            <v>12.22</v>
          </cell>
          <cell r="C33">
            <v>12.23</v>
          </cell>
          <cell r="D33">
            <v>12.21</v>
          </cell>
          <cell r="E33">
            <v>12.21</v>
          </cell>
          <cell r="F33">
            <v>12.19</v>
          </cell>
          <cell r="G33">
            <v>12.19</v>
          </cell>
          <cell r="H33">
            <v>12.19</v>
          </cell>
          <cell r="I33">
            <v>12.18</v>
          </cell>
          <cell r="J33">
            <v>12.17</v>
          </cell>
          <cell r="K33">
            <v>12.17</v>
          </cell>
          <cell r="L33">
            <v>12.16</v>
          </cell>
          <cell r="M33">
            <v>12.16</v>
          </cell>
          <cell r="N33">
            <v>12.17</v>
          </cell>
          <cell r="O33">
            <v>12.19</v>
          </cell>
          <cell r="P33">
            <v>12.26</v>
          </cell>
          <cell r="Q33">
            <v>12.24</v>
          </cell>
          <cell r="R33">
            <v>12.19</v>
          </cell>
          <cell r="S33">
            <v>12.16</v>
          </cell>
          <cell r="T33">
            <v>12.15</v>
          </cell>
          <cell r="U33">
            <v>12.17</v>
          </cell>
          <cell r="V33">
            <v>12.15</v>
          </cell>
          <cell r="W33">
            <v>12.17</v>
          </cell>
          <cell r="X33">
            <v>12.15</v>
          </cell>
          <cell r="Y33">
            <v>12.14</v>
          </cell>
        </row>
      </sheetData>
      <sheetData sheetId="12">
        <row r="33">
          <cell r="B33">
            <v>12.15</v>
          </cell>
          <cell r="C33">
            <v>12.14</v>
          </cell>
          <cell r="D33">
            <v>12.13</v>
          </cell>
          <cell r="E33">
            <v>12.11</v>
          </cell>
          <cell r="F33">
            <v>12.11</v>
          </cell>
          <cell r="G33">
            <v>12.11</v>
          </cell>
          <cell r="H33">
            <v>12.11</v>
          </cell>
          <cell r="I33">
            <v>12.11</v>
          </cell>
          <cell r="J33">
            <v>12.12</v>
          </cell>
          <cell r="K33">
            <v>12.12</v>
          </cell>
          <cell r="L33">
            <v>12.13</v>
          </cell>
          <cell r="M33">
            <v>12.12</v>
          </cell>
          <cell r="N33">
            <v>12.13</v>
          </cell>
          <cell r="O33">
            <v>12.12</v>
          </cell>
          <cell r="P33">
            <v>12.16</v>
          </cell>
          <cell r="Q33">
            <v>12.18</v>
          </cell>
          <cell r="R33">
            <v>12.35</v>
          </cell>
          <cell r="S33">
            <v>12.46</v>
          </cell>
          <cell r="T33">
            <v>12.26</v>
          </cell>
          <cell r="U33">
            <v>12.22</v>
          </cell>
          <cell r="V33">
            <v>12.16</v>
          </cell>
          <cell r="W33">
            <v>12.13</v>
          </cell>
          <cell r="X33">
            <v>12.14</v>
          </cell>
          <cell r="Y33">
            <v>12.12</v>
          </cell>
        </row>
      </sheetData>
      <sheetData sheetId="13">
        <row r="33">
          <cell r="B33">
            <v>12.11</v>
          </cell>
          <cell r="C33">
            <v>12.11</v>
          </cell>
          <cell r="D33">
            <v>12.12</v>
          </cell>
          <cell r="E33">
            <v>12.11</v>
          </cell>
          <cell r="F33">
            <v>12.09</v>
          </cell>
          <cell r="G33">
            <v>12.09</v>
          </cell>
          <cell r="H33">
            <v>12.08</v>
          </cell>
          <cell r="I33">
            <v>12.07</v>
          </cell>
          <cell r="J33">
            <v>12.09</v>
          </cell>
          <cell r="K33">
            <v>12.07</v>
          </cell>
          <cell r="L33">
            <v>12.07</v>
          </cell>
          <cell r="M33">
            <v>12.18</v>
          </cell>
          <cell r="N33">
            <v>12.14</v>
          </cell>
          <cell r="O33">
            <v>12.12</v>
          </cell>
          <cell r="P33">
            <v>12.19</v>
          </cell>
          <cell r="Q33">
            <v>12.2</v>
          </cell>
          <cell r="R33">
            <v>12.18</v>
          </cell>
          <cell r="S33">
            <v>12.15</v>
          </cell>
          <cell r="T33">
            <v>12.15</v>
          </cell>
          <cell r="U33">
            <v>12.14</v>
          </cell>
          <cell r="V33">
            <v>12.13</v>
          </cell>
          <cell r="W33">
            <v>12.14</v>
          </cell>
          <cell r="X33">
            <v>12.13</v>
          </cell>
          <cell r="Y33">
            <v>12.15</v>
          </cell>
        </row>
      </sheetData>
      <sheetData sheetId="14">
        <row r="33">
          <cell r="B33">
            <v>12.14</v>
          </cell>
          <cell r="C33">
            <v>12.13</v>
          </cell>
          <cell r="D33">
            <v>12.13</v>
          </cell>
          <cell r="E33">
            <v>12.13</v>
          </cell>
          <cell r="F33">
            <v>12.12</v>
          </cell>
          <cell r="G33">
            <v>12.12</v>
          </cell>
          <cell r="H33">
            <v>12.09</v>
          </cell>
          <cell r="I33">
            <v>12.09</v>
          </cell>
          <cell r="J33">
            <v>12.1</v>
          </cell>
          <cell r="K33">
            <v>12.11</v>
          </cell>
          <cell r="L33">
            <v>12.1</v>
          </cell>
          <cell r="M33">
            <v>12.25</v>
          </cell>
          <cell r="N33">
            <v>12.18</v>
          </cell>
          <cell r="O33">
            <v>12.12</v>
          </cell>
          <cell r="P33">
            <v>12.13</v>
          </cell>
          <cell r="Q33">
            <v>12.12</v>
          </cell>
          <cell r="R33">
            <v>12.13</v>
          </cell>
          <cell r="S33">
            <v>12.12</v>
          </cell>
          <cell r="T33">
            <v>12.12</v>
          </cell>
          <cell r="U33">
            <v>12.11</v>
          </cell>
          <cell r="V33">
            <v>12.11</v>
          </cell>
          <cell r="W33">
            <v>12.11</v>
          </cell>
          <cell r="X33">
            <v>12.11</v>
          </cell>
          <cell r="Y33">
            <v>12.11</v>
          </cell>
        </row>
      </sheetData>
      <sheetData sheetId="15">
        <row r="33">
          <cell r="B33">
            <v>12.09</v>
          </cell>
          <cell r="C33">
            <v>12.09</v>
          </cell>
          <cell r="D33">
            <v>12.11</v>
          </cell>
          <cell r="E33">
            <v>12.1</v>
          </cell>
          <cell r="F33">
            <v>12.09</v>
          </cell>
          <cell r="G33">
            <v>12.09</v>
          </cell>
          <cell r="H33">
            <v>12.09</v>
          </cell>
          <cell r="I33">
            <v>12.09</v>
          </cell>
          <cell r="J33">
            <v>12.07</v>
          </cell>
          <cell r="K33">
            <v>12.09</v>
          </cell>
          <cell r="L33">
            <v>12.14</v>
          </cell>
          <cell r="M33">
            <v>12.08</v>
          </cell>
          <cell r="N33">
            <v>12.07</v>
          </cell>
          <cell r="O33">
            <v>12.1</v>
          </cell>
          <cell r="P33">
            <v>12.09</v>
          </cell>
          <cell r="Q33">
            <v>12.09</v>
          </cell>
          <cell r="R33">
            <v>12.08</v>
          </cell>
          <cell r="S33">
            <v>12.09</v>
          </cell>
          <cell r="T33">
            <v>12.07</v>
          </cell>
          <cell r="U33">
            <v>12.07</v>
          </cell>
          <cell r="V33">
            <v>12.08</v>
          </cell>
          <cell r="W33">
            <v>12.09</v>
          </cell>
          <cell r="X33">
            <v>12.08</v>
          </cell>
          <cell r="Y33">
            <v>12.08</v>
          </cell>
        </row>
      </sheetData>
      <sheetData sheetId="16">
        <row r="33">
          <cell r="B33">
            <v>12.09</v>
          </cell>
          <cell r="C33">
            <v>12.08</v>
          </cell>
          <cell r="D33">
            <v>12.08</v>
          </cell>
          <cell r="E33">
            <v>12.08</v>
          </cell>
          <cell r="F33">
            <v>12.08</v>
          </cell>
          <cell r="G33">
            <v>12.09</v>
          </cell>
          <cell r="H33">
            <v>12.08</v>
          </cell>
          <cell r="I33">
            <v>12.07</v>
          </cell>
          <cell r="J33">
            <v>12.06</v>
          </cell>
          <cell r="K33">
            <v>12.05</v>
          </cell>
          <cell r="L33">
            <v>12.04</v>
          </cell>
          <cell r="M33">
            <v>12.03</v>
          </cell>
          <cell r="N33">
            <v>12.05</v>
          </cell>
          <cell r="O33">
            <v>12.07</v>
          </cell>
          <cell r="P33">
            <v>12.07</v>
          </cell>
          <cell r="Q33">
            <v>12.08</v>
          </cell>
          <cell r="R33">
            <v>12.06</v>
          </cell>
          <cell r="S33">
            <v>12.05</v>
          </cell>
          <cell r="T33">
            <v>12.05</v>
          </cell>
          <cell r="U33">
            <v>12.06</v>
          </cell>
          <cell r="V33">
            <v>12.06</v>
          </cell>
          <cell r="W33">
            <v>12.06</v>
          </cell>
          <cell r="X33">
            <v>12.07</v>
          </cell>
          <cell r="Y33">
            <v>12.08</v>
          </cell>
        </row>
      </sheetData>
      <sheetData sheetId="17">
        <row r="33">
          <cell r="B33">
            <v>12.08</v>
          </cell>
          <cell r="C33">
            <v>12.07</v>
          </cell>
          <cell r="D33">
            <v>12.06</v>
          </cell>
          <cell r="E33">
            <v>12.06</v>
          </cell>
          <cell r="F33">
            <v>12.05</v>
          </cell>
          <cell r="G33">
            <v>12.06</v>
          </cell>
          <cell r="H33">
            <v>12.06</v>
          </cell>
          <cell r="I33">
            <v>12.05</v>
          </cell>
          <cell r="J33">
            <v>12.06</v>
          </cell>
          <cell r="K33">
            <v>12.05</v>
          </cell>
          <cell r="L33">
            <v>12.05</v>
          </cell>
          <cell r="M33">
            <v>12.05</v>
          </cell>
          <cell r="N33">
            <v>12</v>
          </cell>
          <cell r="O33">
            <v>12.22</v>
          </cell>
          <cell r="P33">
            <v>12.35</v>
          </cell>
          <cell r="Q33">
            <v>12.12</v>
          </cell>
          <cell r="R33">
            <v>12.02</v>
          </cell>
          <cell r="S33">
            <v>12.04</v>
          </cell>
          <cell r="T33">
            <v>12.05</v>
          </cell>
          <cell r="U33">
            <v>12.03</v>
          </cell>
          <cell r="V33">
            <v>12.03</v>
          </cell>
          <cell r="W33">
            <v>12.03</v>
          </cell>
          <cell r="X33">
            <v>12.04</v>
          </cell>
          <cell r="Y33">
            <v>12.05</v>
          </cell>
        </row>
      </sheetData>
      <sheetData sheetId="18">
        <row r="33">
          <cell r="B33">
            <v>12.06</v>
          </cell>
          <cell r="C33">
            <v>12.05</v>
          </cell>
          <cell r="D33">
            <v>12.06</v>
          </cell>
          <cell r="E33">
            <v>12.05</v>
          </cell>
          <cell r="F33">
            <v>12.03</v>
          </cell>
          <cell r="G33">
            <v>12.04</v>
          </cell>
          <cell r="H33">
            <v>12.03</v>
          </cell>
          <cell r="I33">
            <v>12.03</v>
          </cell>
          <cell r="J33">
            <v>12.06</v>
          </cell>
          <cell r="K33">
            <v>12.09</v>
          </cell>
          <cell r="L33" t="str">
            <v>**</v>
          </cell>
          <cell r="M33">
            <v>11.99</v>
          </cell>
          <cell r="N33">
            <v>12.01</v>
          </cell>
          <cell r="O33">
            <v>12</v>
          </cell>
          <cell r="P33">
            <v>12</v>
          </cell>
          <cell r="Q33">
            <v>11.98</v>
          </cell>
          <cell r="R33">
            <v>11.99</v>
          </cell>
          <cell r="S33">
            <v>11.99</v>
          </cell>
          <cell r="T33">
            <v>11.99</v>
          </cell>
          <cell r="U33">
            <v>11.98</v>
          </cell>
          <cell r="V33">
            <v>11.98</v>
          </cell>
          <cell r="W33">
            <v>12</v>
          </cell>
          <cell r="X33">
            <v>12</v>
          </cell>
          <cell r="Y33">
            <v>12.01</v>
          </cell>
        </row>
      </sheetData>
      <sheetData sheetId="19">
        <row r="33">
          <cell r="B33">
            <v>12.03</v>
          </cell>
          <cell r="C33">
            <v>12.04</v>
          </cell>
          <cell r="D33">
            <v>12.04</v>
          </cell>
          <cell r="E33">
            <v>12.04</v>
          </cell>
          <cell r="F33">
            <v>12.02</v>
          </cell>
          <cell r="G33">
            <v>12.02</v>
          </cell>
          <cell r="H33">
            <v>12.03</v>
          </cell>
          <cell r="I33">
            <v>12.08</v>
          </cell>
          <cell r="J33">
            <v>12.48</v>
          </cell>
          <cell r="K33">
            <v>12.22</v>
          </cell>
          <cell r="L33">
            <v>12.02</v>
          </cell>
          <cell r="M33">
            <v>11.98</v>
          </cell>
          <cell r="N33">
            <v>11.98</v>
          </cell>
          <cell r="O33">
            <v>11.98</v>
          </cell>
          <cell r="P33">
            <v>11.99</v>
          </cell>
          <cell r="Q33">
            <v>12</v>
          </cell>
          <cell r="R33">
            <v>12</v>
          </cell>
          <cell r="S33">
            <v>11.99</v>
          </cell>
          <cell r="T33">
            <v>11.98</v>
          </cell>
          <cell r="U33">
            <v>11.98</v>
          </cell>
          <cell r="V33">
            <v>11.97</v>
          </cell>
          <cell r="W33">
            <v>11.97</v>
          </cell>
          <cell r="X33">
            <v>11.99</v>
          </cell>
          <cell r="Y33">
            <v>11.99</v>
          </cell>
        </row>
      </sheetData>
      <sheetData sheetId="20">
        <row r="33">
          <cell r="B33">
            <v>12</v>
          </cell>
          <cell r="C33">
            <v>12</v>
          </cell>
          <cell r="D33">
            <v>12.03</v>
          </cell>
          <cell r="E33">
            <v>12.03</v>
          </cell>
          <cell r="F33">
            <v>12.02</v>
          </cell>
          <cell r="G33">
            <v>12</v>
          </cell>
          <cell r="H33">
            <v>12</v>
          </cell>
          <cell r="I33">
            <v>12</v>
          </cell>
          <cell r="J33">
            <v>11.97</v>
          </cell>
          <cell r="K33">
            <v>11.98</v>
          </cell>
          <cell r="L33">
            <v>12.04</v>
          </cell>
          <cell r="M33">
            <v>11.99</v>
          </cell>
          <cell r="N33">
            <v>11.97</v>
          </cell>
          <cell r="O33">
            <v>11.96</v>
          </cell>
          <cell r="P33">
            <v>11.96</v>
          </cell>
          <cell r="Q33">
            <v>11.97</v>
          </cell>
          <cell r="R33">
            <v>11.96</v>
          </cell>
          <cell r="S33">
            <v>11.96</v>
          </cell>
          <cell r="T33">
            <v>11.97</v>
          </cell>
          <cell r="U33">
            <v>11.96</v>
          </cell>
          <cell r="V33">
            <v>11.95</v>
          </cell>
          <cell r="W33">
            <v>11.95</v>
          </cell>
          <cell r="X33">
            <v>11.95</v>
          </cell>
          <cell r="Y33">
            <v>11.96</v>
          </cell>
        </row>
      </sheetData>
      <sheetData sheetId="21">
        <row r="33">
          <cell r="B33">
            <v>11.97</v>
          </cell>
          <cell r="C33">
            <v>11.98</v>
          </cell>
          <cell r="D33">
            <v>12.01</v>
          </cell>
          <cell r="E33">
            <v>12.02</v>
          </cell>
          <cell r="F33">
            <v>12</v>
          </cell>
          <cell r="G33">
            <v>12.02</v>
          </cell>
          <cell r="H33">
            <v>12</v>
          </cell>
          <cell r="I33">
            <v>11.99</v>
          </cell>
          <cell r="J33">
            <v>11.97</v>
          </cell>
          <cell r="K33">
            <v>12.01</v>
          </cell>
          <cell r="L33">
            <v>11.95</v>
          </cell>
          <cell r="M33">
            <v>11.96</v>
          </cell>
          <cell r="N33">
            <v>11.96</v>
          </cell>
          <cell r="O33">
            <v>11.96</v>
          </cell>
          <cell r="P33">
            <v>11.95</v>
          </cell>
          <cell r="Q33">
            <v>11.95</v>
          </cell>
          <cell r="R33">
            <v>11.95</v>
          </cell>
          <cell r="S33">
            <v>11.95</v>
          </cell>
          <cell r="T33">
            <v>11.94</v>
          </cell>
          <cell r="U33">
            <v>11.94</v>
          </cell>
          <cell r="V33">
            <v>11.94</v>
          </cell>
          <cell r="W33">
            <v>11.92</v>
          </cell>
          <cell r="X33">
            <v>11.91</v>
          </cell>
          <cell r="Y33">
            <v>11.92</v>
          </cell>
        </row>
      </sheetData>
      <sheetData sheetId="22">
        <row r="33">
          <cell r="B33">
            <v>11.92</v>
          </cell>
          <cell r="C33">
            <v>11.95</v>
          </cell>
          <cell r="D33">
            <v>11.96</v>
          </cell>
          <cell r="E33">
            <v>11.96</v>
          </cell>
          <cell r="F33">
            <v>11.96</v>
          </cell>
          <cell r="G33">
            <v>11.97</v>
          </cell>
          <cell r="H33">
            <v>12.06</v>
          </cell>
          <cell r="I33">
            <v>11.99</v>
          </cell>
          <cell r="J33">
            <v>11.94</v>
          </cell>
          <cell r="K33">
            <v>11.96</v>
          </cell>
          <cell r="L33">
            <v>12</v>
          </cell>
          <cell r="M33">
            <v>11.99</v>
          </cell>
          <cell r="N33">
            <v>11.97</v>
          </cell>
          <cell r="O33">
            <v>11.97</v>
          </cell>
          <cell r="P33">
            <v>11.93</v>
          </cell>
          <cell r="Q33">
            <v>11.89</v>
          </cell>
          <cell r="R33">
            <v>11.91</v>
          </cell>
          <cell r="S33">
            <v>11.96</v>
          </cell>
          <cell r="T33">
            <v>11.96</v>
          </cell>
          <cell r="U33">
            <v>11.97</v>
          </cell>
          <cell r="V33">
            <v>11.94</v>
          </cell>
          <cell r="W33">
            <v>11.92</v>
          </cell>
          <cell r="X33">
            <v>11.92</v>
          </cell>
          <cell r="Y33">
            <v>11.93</v>
          </cell>
        </row>
      </sheetData>
      <sheetData sheetId="23">
        <row r="33">
          <cell r="B33">
            <v>11.92</v>
          </cell>
          <cell r="C33">
            <v>11.9</v>
          </cell>
          <cell r="D33">
            <v>11.9</v>
          </cell>
          <cell r="E33">
            <v>11.92</v>
          </cell>
          <cell r="F33">
            <v>11.97</v>
          </cell>
          <cell r="G33">
            <v>11.98</v>
          </cell>
          <cell r="H33">
            <v>11.97</v>
          </cell>
          <cell r="I33">
            <v>11.95</v>
          </cell>
          <cell r="J33">
            <v>11.94</v>
          </cell>
          <cell r="K33">
            <v>11.92</v>
          </cell>
          <cell r="L33">
            <v>12.02</v>
          </cell>
          <cell r="M33">
            <v>12.01</v>
          </cell>
          <cell r="N33">
            <v>11.99</v>
          </cell>
          <cell r="O33">
            <v>11.96</v>
          </cell>
          <cell r="P33">
            <v>11.93</v>
          </cell>
          <cell r="Q33">
            <v>11.93</v>
          </cell>
          <cell r="R33">
            <v>11.93</v>
          </cell>
          <cell r="S33">
            <v>11.93</v>
          </cell>
          <cell r="T33">
            <v>11.94</v>
          </cell>
          <cell r="U33">
            <v>11.94</v>
          </cell>
          <cell r="V33">
            <v>11.91</v>
          </cell>
          <cell r="W33">
            <v>11.9</v>
          </cell>
          <cell r="X33">
            <v>11.89</v>
          </cell>
          <cell r="Y33">
            <v>11.89</v>
          </cell>
        </row>
      </sheetData>
      <sheetData sheetId="24">
        <row r="33">
          <cell r="B33">
            <v>11.88</v>
          </cell>
          <cell r="C33">
            <v>11.88</v>
          </cell>
          <cell r="D33">
            <v>11.88</v>
          </cell>
          <cell r="E33">
            <v>11.89</v>
          </cell>
          <cell r="F33">
            <v>11.89</v>
          </cell>
          <cell r="G33">
            <v>11.89</v>
          </cell>
          <cell r="H33">
            <v>11.94</v>
          </cell>
          <cell r="I33">
            <v>11.89</v>
          </cell>
          <cell r="J33">
            <v>12.11</v>
          </cell>
          <cell r="K33">
            <v>12.2</v>
          </cell>
          <cell r="L33">
            <v>12.12</v>
          </cell>
          <cell r="M33">
            <v>12.04</v>
          </cell>
          <cell r="N33">
            <v>11.96</v>
          </cell>
          <cell r="O33">
            <v>11.93</v>
          </cell>
          <cell r="P33">
            <v>11.92</v>
          </cell>
          <cell r="Q33">
            <v>11.92</v>
          </cell>
          <cell r="R33">
            <v>11.93</v>
          </cell>
          <cell r="S33">
            <v>11.93</v>
          </cell>
          <cell r="T33">
            <v>11.94</v>
          </cell>
          <cell r="U33">
            <v>11.94</v>
          </cell>
          <cell r="V33">
            <v>11.92</v>
          </cell>
          <cell r="W33">
            <v>11.92</v>
          </cell>
          <cell r="X33">
            <v>11.91</v>
          </cell>
          <cell r="Y33">
            <v>11.91</v>
          </cell>
        </row>
      </sheetData>
      <sheetData sheetId="25">
        <row r="33">
          <cell r="B33">
            <v>11.91</v>
          </cell>
          <cell r="C33">
            <v>11.91</v>
          </cell>
          <cell r="D33">
            <v>11.9</v>
          </cell>
          <cell r="E33">
            <v>11.89</v>
          </cell>
          <cell r="F33">
            <v>11.9</v>
          </cell>
          <cell r="G33">
            <v>11.91</v>
          </cell>
          <cell r="H33">
            <v>11.93</v>
          </cell>
          <cell r="I33">
            <v>11.93</v>
          </cell>
          <cell r="J33">
            <v>11.93</v>
          </cell>
          <cell r="K33">
            <v>11.97</v>
          </cell>
          <cell r="L33">
            <v>11.96</v>
          </cell>
          <cell r="M33">
            <v>11.94</v>
          </cell>
          <cell r="N33">
            <v>11.92</v>
          </cell>
          <cell r="O33">
            <v>11.95</v>
          </cell>
          <cell r="P33">
            <v>11.91</v>
          </cell>
          <cell r="Q33">
            <v>11.93</v>
          </cell>
          <cell r="R33">
            <v>11.94</v>
          </cell>
          <cell r="S33">
            <v>12.02</v>
          </cell>
          <cell r="T33">
            <v>11.98</v>
          </cell>
          <cell r="U33">
            <v>11.94</v>
          </cell>
          <cell r="V33">
            <v>11.97</v>
          </cell>
          <cell r="W33">
            <v>11.96</v>
          </cell>
          <cell r="X33">
            <v>11.95</v>
          </cell>
          <cell r="Y33">
            <v>11.94</v>
          </cell>
        </row>
      </sheetData>
      <sheetData sheetId="26">
        <row r="33">
          <cell r="B33">
            <v>11.94</v>
          </cell>
          <cell r="C33">
            <v>11.91</v>
          </cell>
          <cell r="D33">
            <v>11.9</v>
          </cell>
          <cell r="E33">
            <v>11.9</v>
          </cell>
          <cell r="F33">
            <v>11.9</v>
          </cell>
          <cell r="G33">
            <v>11.9</v>
          </cell>
          <cell r="H33">
            <v>11.9</v>
          </cell>
          <cell r="I33">
            <v>11.9</v>
          </cell>
          <cell r="J33">
            <v>11.9</v>
          </cell>
          <cell r="K33">
            <v>11.9</v>
          </cell>
          <cell r="L33">
            <v>11.9</v>
          </cell>
          <cell r="M33">
            <v>11.9</v>
          </cell>
          <cell r="N33">
            <v>11.9</v>
          </cell>
          <cell r="O33">
            <v>12.11</v>
          </cell>
          <cell r="P33">
            <v>12.68</v>
          </cell>
          <cell r="Q33">
            <v>13.03</v>
          </cell>
          <cell r="R33">
            <v>13.03</v>
          </cell>
          <cell r="S33">
            <v>12.94</v>
          </cell>
          <cell r="T33">
            <v>13.18</v>
          </cell>
          <cell r="U33">
            <v>13.51</v>
          </cell>
          <cell r="V33">
            <v>13.86</v>
          </cell>
          <cell r="W33">
            <v>14.29</v>
          </cell>
          <cell r="X33">
            <v>14.3</v>
          </cell>
          <cell r="Y33">
            <v>14.16</v>
          </cell>
        </row>
      </sheetData>
      <sheetData sheetId="27">
        <row r="33">
          <cell r="B33">
            <v>13.88</v>
          </cell>
          <cell r="C33">
            <v>13.59</v>
          </cell>
          <cell r="D33">
            <v>13.36</v>
          </cell>
          <cell r="E33">
            <v>13.19</v>
          </cell>
          <cell r="F33">
            <v>13.06</v>
          </cell>
          <cell r="G33">
            <v>12.97</v>
          </cell>
          <cell r="H33">
            <v>12.93</v>
          </cell>
          <cell r="I33">
            <v>12.9</v>
          </cell>
          <cell r="J33">
            <v>12.87</v>
          </cell>
          <cell r="K33">
            <v>12.87</v>
          </cell>
          <cell r="L33">
            <v>12.83</v>
          </cell>
          <cell r="M33">
            <v>12.79</v>
          </cell>
          <cell r="N33">
            <v>12.75</v>
          </cell>
          <cell r="O33">
            <v>12.69</v>
          </cell>
          <cell r="P33">
            <v>12.66</v>
          </cell>
          <cell r="Q33">
            <v>12.63</v>
          </cell>
          <cell r="R33">
            <v>12.59</v>
          </cell>
          <cell r="S33">
            <v>12.58</v>
          </cell>
          <cell r="T33">
            <v>12.55</v>
          </cell>
          <cell r="U33">
            <v>12.52</v>
          </cell>
          <cell r="V33">
            <v>12.49</v>
          </cell>
          <cell r="W33">
            <v>12.47</v>
          </cell>
          <cell r="X33">
            <v>12.44</v>
          </cell>
          <cell r="Y33">
            <v>12.44</v>
          </cell>
        </row>
      </sheetData>
      <sheetData sheetId="28">
        <row r="33">
          <cell r="B33">
            <v>12.42</v>
          </cell>
          <cell r="C33">
            <v>12.39</v>
          </cell>
          <cell r="D33">
            <v>12.39</v>
          </cell>
          <cell r="E33">
            <v>12.34</v>
          </cell>
          <cell r="F33">
            <v>12.32</v>
          </cell>
          <cell r="G33">
            <v>12.32</v>
          </cell>
          <cell r="H33">
            <v>12.31</v>
          </cell>
          <cell r="I33">
            <v>12.29</v>
          </cell>
          <cell r="J33">
            <v>12.29</v>
          </cell>
          <cell r="K33">
            <v>12.25</v>
          </cell>
          <cell r="L33">
            <v>12.25</v>
          </cell>
          <cell r="M33">
            <v>12.25</v>
          </cell>
          <cell r="N33">
            <v>12.21</v>
          </cell>
          <cell r="O33">
            <v>12.21</v>
          </cell>
          <cell r="P33">
            <v>12.22</v>
          </cell>
          <cell r="Q33">
            <v>12.23</v>
          </cell>
          <cell r="R33">
            <v>12.2</v>
          </cell>
          <cell r="S33">
            <v>12.2</v>
          </cell>
          <cell r="T33">
            <v>12.19</v>
          </cell>
          <cell r="U33">
            <v>12.21</v>
          </cell>
          <cell r="V33">
            <v>12.2</v>
          </cell>
          <cell r="W33">
            <v>12.19</v>
          </cell>
          <cell r="X33">
            <v>12.2</v>
          </cell>
          <cell r="Y33">
            <v>12.21</v>
          </cell>
        </row>
      </sheetData>
      <sheetData sheetId="29">
        <row r="33">
          <cell r="B33">
            <v>12.2</v>
          </cell>
          <cell r="C33">
            <v>12.19</v>
          </cell>
          <cell r="D33">
            <v>12.18</v>
          </cell>
          <cell r="E33">
            <v>12.18</v>
          </cell>
          <cell r="F33">
            <v>12.18</v>
          </cell>
          <cell r="G33">
            <v>12.16</v>
          </cell>
          <cell r="H33">
            <v>12.17</v>
          </cell>
          <cell r="I33">
            <v>12.16</v>
          </cell>
          <cell r="J33">
            <v>12.16</v>
          </cell>
          <cell r="K33">
            <v>12.41</v>
          </cell>
          <cell r="L33">
            <v>12.96</v>
          </cell>
          <cell r="M33">
            <v>13.51</v>
          </cell>
          <cell r="N33">
            <v>13.44</v>
          </cell>
          <cell r="O33">
            <v>13.13</v>
          </cell>
          <cell r="P33">
            <v>12.8</v>
          </cell>
          <cell r="Q33">
            <v>12.54</v>
          </cell>
          <cell r="R33">
            <v>12.41</v>
          </cell>
          <cell r="S33">
            <v>12.35</v>
          </cell>
          <cell r="T33">
            <v>12.31</v>
          </cell>
          <cell r="U33">
            <v>12.3</v>
          </cell>
          <cell r="V33">
            <v>12.28</v>
          </cell>
          <cell r="W33">
            <v>12.26</v>
          </cell>
          <cell r="X33">
            <v>12.52</v>
          </cell>
          <cell r="Y33">
            <v>12.75</v>
          </cell>
        </row>
      </sheetData>
      <sheetData sheetId="30">
        <row r="33">
          <cell r="B33">
            <v>12.94</v>
          </cell>
          <cell r="C33">
            <v>12.93</v>
          </cell>
          <cell r="D33">
            <v>12.21</v>
          </cell>
          <cell r="E33">
            <v>12.21</v>
          </cell>
          <cell r="F33">
            <v>12.2</v>
          </cell>
          <cell r="G33">
            <v>12.19</v>
          </cell>
          <cell r="H33">
            <v>12.19</v>
          </cell>
          <cell r="I33">
            <v>12.19</v>
          </cell>
          <cell r="J33">
            <v>12.18</v>
          </cell>
          <cell r="K33">
            <v>12.16</v>
          </cell>
          <cell r="L33">
            <v>12.15</v>
          </cell>
          <cell r="M33">
            <v>12.13</v>
          </cell>
          <cell r="N33">
            <v>12.13</v>
          </cell>
          <cell r="O33">
            <v>12.13</v>
          </cell>
          <cell r="P33">
            <v>12.13</v>
          </cell>
          <cell r="Q33">
            <v>12.12</v>
          </cell>
          <cell r="R33">
            <v>12.1</v>
          </cell>
          <cell r="S33">
            <v>12.1</v>
          </cell>
          <cell r="T33">
            <v>12.09</v>
          </cell>
          <cell r="U33">
            <v>12.09</v>
          </cell>
          <cell r="V33">
            <v>12.08</v>
          </cell>
          <cell r="W33">
            <v>12.07</v>
          </cell>
          <cell r="X33">
            <v>12.08</v>
          </cell>
          <cell r="Y33">
            <v>12.08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12.12</v>
          </cell>
          <cell r="AC6">
            <v>11.87</v>
          </cell>
        </row>
        <row r="7">
          <cell r="A7">
            <v>2</v>
          </cell>
          <cell r="AB7">
            <v>13.02</v>
          </cell>
          <cell r="AC7">
            <v>11.9</v>
          </cell>
        </row>
        <row r="8">
          <cell r="A8">
            <v>3</v>
          </cell>
          <cell r="AB8">
            <v>12.33</v>
          </cell>
          <cell r="AC8">
            <v>11.9</v>
          </cell>
        </row>
        <row r="9">
          <cell r="A9">
            <v>4</v>
          </cell>
          <cell r="AB9">
            <v>12</v>
          </cell>
          <cell r="AC9">
            <v>11.84</v>
          </cell>
        </row>
        <row r="10">
          <cell r="A10">
            <v>5</v>
          </cell>
          <cell r="AB10">
            <v>12.69</v>
          </cell>
          <cell r="AC10">
            <v>11.9</v>
          </cell>
        </row>
        <row r="11">
          <cell r="A11">
            <v>6</v>
          </cell>
          <cell r="AB11">
            <v>12.22</v>
          </cell>
          <cell r="AC11">
            <v>12.01</v>
          </cell>
        </row>
        <row r="12">
          <cell r="A12">
            <v>7</v>
          </cell>
          <cell r="AB12">
            <v>12.37</v>
          </cell>
          <cell r="AC12">
            <v>12</v>
          </cell>
        </row>
        <row r="13">
          <cell r="A13">
            <v>8</v>
          </cell>
          <cell r="AB13">
            <v>12.5</v>
          </cell>
          <cell r="AC13">
            <v>12.19</v>
          </cell>
        </row>
        <row r="14">
          <cell r="A14">
            <v>9</v>
          </cell>
          <cell r="AB14">
            <v>12.59</v>
          </cell>
          <cell r="AC14">
            <v>12.2</v>
          </cell>
        </row>
        <row r="15">
          <cell r="A15">
            <v>10</v>
          </cell>
          <cell r="AB15">
            <v>12.96</v>
          </cell>
          <cell r="AC15">
            <v>11.82</v>
          </cell>
        </row>
        <row r="16">
          <cell r="A16">
            <v>11</v>
          </cell>
          <cell r="AB16">
            <v>12.32</v>
          </cell>
          <cell r="AC16">
            <v>12.21</v>
          </cell>
        </row>
        <row r="17">
          <cell r="A17">
            <v>12</v>
          </cell>
          <cell r="AB17">
            <v>12.26</v>
          </cell>
          <cell r="AC17">
            <v>12.14</v>
          </cell>
        </row>
        <row r="18">
          <cell r="A18">
            <v>13</v>
          </cell>
          <cell r="AB18">
            <v>12.46</v>
          </cell>
          <cell r="AC18">
            <v>12.11</v>
          </cell>
        </row>
        <row r="19">
          <cell r="A19">
            <v>14</v>
          </cell>
          <cell r="AB19">
            <v>12.2</v>
          </cell>
          <cell r="AC19">
            <v>12.07</v>
          </cell>
        </row>
        <row r="20">
          <cell r="A20">
            <v>15</v>
          </cell>
          <cell r="AB20">
            <v>12.25</v>
          </cell>
          <cell r="AC20">
            <v>12.09</v>
          </cell>
        </row>
        <row r="21">
          <cell r="A21">
            <v>16</v>
          </cell>
          <cell r="AB21">
            <v>12.14</v>
          </cell>
          <cell r="AC21">
            <v>12.07</v>
          </cell>
        </row>
        <row r="22">
          <cell r="A22">
            <v>17</v>
          </cell>
          <cell r="AB22">
            <v>12.09</v>
          </cell>
          <cell r="AC22">
            <v>12.03</v>
          </cell>
        </row>
        <row r="23">
          <cell r="A23">
            <v>18</v>
          </cell>
          <cell r="AB23">
            <v>12.35</v>
          </cell>
          <cell r="AC23">
            <v>12</v>
          </cell>
        </row>
        <row r="24">
          <cell r="A24">
            <v>19</v>
          </cell>
          <cell r="AB24">
            <v>12.09</v>
          </cell>
          <cell r="AC24">
            <v>11.98</v>
          </cell>
        </row>
        <row r="25">
          <cell r="A25">
            <v>20</v>
          </cell>
          <cell r="AB25">
            <v>12.48</v>
          </cell>
          <cell r="AC25">
            <v>11.97</v>
          </cell>
        </row>
        <row r="26">
          <cell r="A26">
            <v>21</v>
          </cell>
          <cell r="AB26">
            <v>12.04</v>
          </cell>
          <cell r="AC26">
            <v>11.95</v>
          </cell>
        </row>
        <row r="27">
          <cell r="A27">
            <v>22</v>
          </cell>
          <cell r="AB27">
            <v>12.02</v>
          </cell>
          <cell r="AC27">
            <v>11.91</v>
          </cell>
        </row>
        <row r="28">
          <cell r="A28">
            <v>23</v>
          </cell>
          <cell r="AB28">
            <v>12.06</v>
          </cell>
          <cell r="AC28">
            <v>11.89</v>
          </cell>
        </row>
        <row r="29">
          <cell r="A29">
            <v>24</v>
          </cell>
          <cell r="AB29">
            <v>12.02</v>
          </cell>
          <cell r="AC29">
            <v>11.89</v>
          </cell>
        </row>
        <row r="30">
          <cell r="A30">
            <v>25</v>
          </cell>
          <cell r="AB30">
            <v>12.2</v>
          </cell>
          <cell r="AC30">
            <v>11.88</v>
          </cell>
        </row>
        <row r="31">
          <cell r="A31">
            <v>26</v>
          </cell>
          <cell r="AB31">
            <v>12.02</v>
          </cell>
          <cell r="AC31">
            <v>11.89</v>
          </cell>
        </row>
        <row r="32">
          <cell r="A32">
            <v>27</v>
          </cell>
          <cell r="AB32">
            <v>14.3</v>
          </cell>
          <cell r="AC32">
            <v>11.9</v>
          </cell>
        </row>
        <row r="33">
          <cell r="A33">
            <v>28</v>
          </cell>
          <cell r="AB33">
            <v>13.88</v>
          </cell>
          <cell r="AC33">
            <v>12.44</v>
          </cell>
        </row>
        <row r="34">
          <cell r="A34">
            <v>29</v>
          </cell>
          <cell r="AB34">
            <v>12.42</v>
          </cell>
          <cell r="AC34">
            <v>12.19</v>
          </cell>
        </row>
        <row r="35">
          <cell r="A35">
            <v>30</v>
          </cell>
          <cell r="AB35">
            <v>13.51</v>
          </cell>
          <cell r="AC35">
            <v>12.16</v>
          </cell>
        </row>
        <row r="36">
          <cell r="A36">
            <v>31</v>
          </cell>
          <cell r="AB36">
            <v>12.94</v>
          </cell>
          <cell r="AC36">
            <v>12.07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11D8-9E2D-4FC4-B825-DDA131EA4BE7}">
  <dimension ref="A1:AP39"/>
  <sheetViews>
    <sheetView tabSelected="1" zoomScale="85" zoomScaleNormal="85" zoomScaleSheetLayoutView="85" workbookViewId="0">
      <pane xSplit="1" ySplit="5" topLeftCell="B15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AC9" sqref="AC9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'[1]AUG 1'!B33</f>
        <v>11.93</v>
      </c>
      <c r="C6" s="24">
        <f>'[1]AUG 1'!C33</f>
        <v>11.93</v>
      </c>
      <c r="D6" s="24">
        <f>'[1]AUG 1'!D33</f>
        <v>11.92</v>
      </c>
      <c r="E6" s="24">
        <f>'[1]AUG 1'!E33</f>
        <v>11.91</v>
      </c>
      <c r="F6" s="24">
        <f>'[1]AUG 1'!F33</f>
        <v>11.9</v>
      </c>
      <c r="G6" s="24">
        <f>'[1]AUG 1'!G33</f>
        <v>11.88</v>
      </c>
      <c r="H6" s="24">
        <f>'[1]AUG 1'!H33</f>
        <v>11.87</v>
      </c>
      <c r="I6" s="24">
        <f>'[1]AUG 1'!I33</f>
        <v>11.88</v>
      </c>
      <c r="J6" s="24">
        <f>'[1]AUG 1'!J33</f>
        <v>11.92</v>
      </c>
      <c r="K6" s="24">
        <f>'[1]AUG 1'!K33</f>
        <v>12.02</v>
      </c>
      <c r="L6" s="24">
        <f>'[1]AUG 1'!L33</f>
        <v>11.98</v>
      </c>
      <c r="M6" s="24">
        <f>'[1]AUG 1'!M33</f>
        <v>12.11</v>
      </c>
      <c r="N6" s="24">
        <f>'[1]AUG 1'!N33</f>
        <v>12.12</v>
      </c>
      <c r="O6" s="24">
        <f>'[1]AUG 1'!O33</f>
        <v>12.01</v>
      </c>
      <c r="P6" s="24">
        <f>'[1]AUG 1'!P33</f>
        <v>11.91</v>
      </c>
      <c r="Q6" s="24">
        <f>'[1]AUG 1'!Q33</f>
        <v>11.9</v>
      </c>
      <c r="R6" s="24">
        <f>'[1]AUG 1'!R33</f>
        <v>11.9</v>
      </c>
      <c r="S6" s="24">
        <f>'[1]AUG 1'!S33</f>
        <v>11.89</v>
      </c>
      <c r="T6" s="24">
        <f>'[1]AUG 1'!T33</f>
        <v>11.89</v>
      </c>
      <c r="U6" s="24">
        <f>'[1]AUG 1'!U33</f>
        <v>11.91</v>
      </c>
      <c r="V6" s="24">
        <f>'[1]AUG 1'!V33</f>
        <v>11.92</v>
      </c>
      <c r="W6" s="24">
        <f>'[1]AUG 1'!W33</f>
        <v>11.92</v>
      </c>
      <c r="X6" s="24">
        <f>'[1]AUG 1'!X33</f>
        <v>11.94</v>
      </c>
      <c r="Y6" s="24">
        <f>'[1]AUG 1'!Y33</f>
        <v>11.93</v>
      </c>
      <c r="Z6" s="25">
        <f t="shared" ref="Z6:Z36" si="0">AVERAGE(B6:Y6)</f>
        <v>11.937083333333334</v>
      </c>
      <c r="AA6" s="26">
        <v>1</v>
      </c>
      <c r="AB6" s="27">
        <f>MAX(B6:Y6)</f>
        <v>12.12</v>
      </c>
      <c r="AC6" s="27">
        <f>MIN(B6:Y6)</f>
        <v>11.87</v>
      </c>
    </row>
    <row r="7" spans="1:42" ht="14.25" customHeight="1" x14ac:dyDescent="0.3">
      <c r="A7" s="23">
        <v>2</v>
      </c>
      <c r="B7" s="24">
        <f>'[1]AUG 2'!B33</f>
        <v>11.92</v>
      </c>
      <c r="C7" s="24">
        <f>'[1]AUG 2'!C33</f>
        <v>11.94</v>
      </c>
      <c r="D7" s="24">
        <f>'[1]AUG 2'!D33</f>
        <v>11.92</v>
      </c>
      <c r="E7" s="24">
        <f>'[1]AUG 2'!E33</f>
        <v>11.91</v>
      </c>
      <c r="F7" s="24">
        <f>'[1]AUG 2'!F33</f>
        <v>11.91</v>
      </c>
      <c r="G7" s="24">
        <f>'[1]AUG 2'!G33</f>
        <v>11.91</v>
      </c>
      <c r="H7" s="24">
        <f>'[1]AUG 2'!H33</f>
        <v>11.92</v>
      </c>
      <c r="I7" s="24">
        <f>'[1]AUG 2'!I33</f>
        <v>11.9</v>
      </c>
      <c r="J7" s="24">
        <f>'[1]AUG 2'!J33</f>
        <v>12.02</v>
      </c>
      <c r="K7" s="24">
        <f>'[1]AUG 2'!K33</f>
        <v>12.02</v>
      </c>
      <c r="L7" s="24">
        <f>'[1]AUG 2'!L33</f>
        <v>12</v>
      </c>
      <c r="M7" s="24">
        <f>'[1]AUG 2'!M33</f>
        <v>12.26</v>
      </c>
      <c r="N7" s="24">
        <f>'[1]AUG 2'!N33</f>
        <v>13.02</v>
      </c>
      <c r="O7" s="24">
        <f>'[1]AUG 2'!O33</f>
        <v>12.67</v>
      </c>
      <c r="P7" s="24">
        <f>'[1]AUG 2'!P33</f>
        <v>12.28</v>
      </c>
      <c r="Q7" s="24">
        <f>'[1]AUG 2'!Q33</f>
        <v>12.06</v>
      </c>
      <c r="R7" s="24">
        <f>'[1]AUG 2'!R33</f>
        <v>12.01</v>
      </c>
      <c r="S7" s="24">
        <f>'[1]AUG 2'!S33</f>
        <v>11.98</v>
      </c>
      <c r="T7" s="24">
        <f>'[1]AUG 2'!T33</f>
        <v>11.96</v>
      </c>
      <c r="U7" s="24">
        <f>'[1]AUG 2'!U33</f>
        <v>11.95</v>
      </c>
      <c r="V7" s="24">
        <f>'[1]AUG 2'!V33</f>
        <v>11.95</v>
      </c>
      <c r="W7" s="24">
        <f>'[1]AUG 2'!W33</f>
        <v>11.94</v>
      </c>
      <c r="X7" s="24">
        <f>'[1]AUG 2'!X33</f>
        <v>11.97</v>
      </c>
      <c r="Y7" s="24">
        <f>'[1]AUG 2'!Y33</f>
        <v>11.98</v>
      </c>
      <c r="Z7" s="25">
        <f t="shared" si="0"/>
        <v>12.058333333333335</v>
      </c>
      <c r="AA7" s="26">
        <v>2</v>
      </c>
      <c r="AB7" s="27">
        <f t="shared" ref="AB7:AB36" si="1">MAX(B7:Y7)</f>
        <v>13.02</v>
      </c>
      <c r="AC7" s="27">
        <f t="shared" ref="AC7:AC36" si="2">MIN(B7:Y7)</f>
        <v>11.9</v>
      </c>
    </row>
    <row r="8" spans="1:42" ht="14.25" customHeight="1" x14ac:dyDescent="0.3">
      <c r="A8" s="23">
        <v>3</v>
      </c>
      <c r="B8" s="24">
        <f>'[1]AUG 3'!B32</f>
        <v>11.98</v>
      </c>
      <c r="C8" s="24">
        <f>'[1]AUG 3'!C32</f>
        <v>11.98</v>
      </c>
      <c r="D8" s="24">
        <f>'[1]AUG 3'!D32</f>
        <v>11.97</v>
      </c>
      <c r="E8" s="24">
        <f>'[1]AUG 3'!E32</f>
        <v>11.96</v>
      </c>
      <c r="F8" s="24">
        <f>'[1]AUG 3'!F32</f>
        <v>11.97</v>
      </c>
      <c r="G8" s="24">
        <f>'[1]AUG 3'!G32</f>
        <v>11.96</v>
      </c>
      <c r="H8" s="24">
        <f>'[1]AUG 3'!H32</f>
        <v>11.95</v>
      </c>
      <c r="I8" s="24">
        <f>'[1]AUG 3'!I32</f>
        <v>12.16</v>
      </c>
      <c r="J8" s="24">
        <f>'[1]AUG 3'!J32</f>
        <v>12.33</v>
      </c>
      <c r="K8" s="24">
        <f>'[1]AUG 3'!K32</f>
        <v>12.11</v>
      </c>
      <c r="L8" s="24">
        <f>'[1]AUG 3'!L32</f>
        <v>12</v>
      </c>
      <c r="M8" s="24">
        <f>'[1]AUG 3'!M32</f>
        <v>11.98</v>
      </c>
      <c r="N8" s="24">
        <f>'[1]AUG 3'!N32</f>
        <v>11.96</v>
      </c>
      <c r="O8" s="24">
        <f>'[1]AUG 3'!O32</f>
        <v>11.95</v>
      </c>
      <c r="P8" s="24">
        <f>'[1]AUG 3'!P32</f>
        <v>11.91</v>
      </c>
      <c r="Q8" s="24">
        <f>'[1]AUG 3'!Q32</f>
        <v>11.92</v>
      </c>
      <c r="R8" s="24">
        <f>'[1]AUG 3'!R32</f>
        <v>11.93</v>
      </c>
      <c r="S8" s="24">
        <f>'[1]AUG 3'!S32</f>
        <v>11.93</v>
      </c>
      <c r="T8" s="24">
        <f>'[1]AUG 3'!T32</f>
        <v>11.92</v>
      </c>
      <c r="U8" s="24">
        <f>'[1]AUG 3'!U32</f>
        <v>11.92</v>
      </c>
      <c r="V8" s="24">
        <f>'[1]AUG 3'!V32</f>
        <v>11.91</v>
      </c>
      <c r="W8" s="24">
        <f>'[1]AUG 3'!W32</f>
        <v>11.9</v>
      </c>
      <c r="X8" s="24">
        <f>'[1]AUG 3'!X32</f>
        <v>11.91</v>
      </c>
      <c r="Y8" s="24">
        <f>'[1]AUG 3'!Y32</f>
        <v>11.92</v>
      </c>
      <c r="Z8" s="28">
        <f t="shared" si="0"/>
        <v>11.97625</v>
      </c>
      <c r="AA8" s="26">
        <v>3</v>
      </c>
      <c r="AB8" s="29">
        <f t="shared" si="1"/>
        <v>12.33</v>
      </c>
      <c r="AC8" s="29">
        <f t="shared" si="2"/>
        <v>11.9</v>
      </c>
    </row>
    <row r="9" spans="1:42" ht="14.25" customHeight="1" x14ac:dyDescent="0.3">
      <c r="A9" s="23">
        <v>4</v>
      </c>
      <c r="B9" s="24">
        <f>'[1]AUG 4'!B32</f>
        <v>11.92</v>
      </c>
      <c r="C9" s="24">
        <f>'[1]AUG 4'!C32</f>
        <v>11.92</v>
      </c>
      <c r="D9" s="24">
        <f>'[1]AUG 4'!D32</f>
        <v>11.92</v>
      </c>
      <c r="E9" s="24">
        <f>'[1]AUG 4'!E32</f>
        <v>11.91</v>
      </c>
      <c r="F9" s="24">
        <f>'[1]AUG 4'!F32</f>
        <v>11.9</v>
      </c>
      <c r="G9" s="24">
        <f>'[1]AUG 4'!G32</f>
        <v>11.88</v>
      </c>
      <c r="H9" s="24">
        <f>'[1]AUG 4'!H32</f>
        <v>11.88</v>
      </c>
      <c r="I9" s="24">
        <f>'[1]AUG 4'!I32</f>
        <v>11.91</v>
      </c>
      <c r="J9" s="24">
        <f>'[1]AUG 4'!J32</f>
        <v>11.89</v>
      </c>
      <c r="K9" s="24">
        <f>'[1]AUG 4'!K32</f>
        <v>11.84</v>
      </c>
      <c r="L9" s="24">
        <f>'[1]AUG 4'!L32</f>
        <v>11.87</v>
      </c>
      <c r="M9" s="24">
        <f>'[1]AUG 4'!M32</f>
        <v>11.9</v>
      </c>
      <c r="N9" s="24">
        <f>'[1]AUG 4'!N32</f>
        <v>11.9</v>
      </c>
      <c r="O9" s="24">
        <f>'[1]AUG 4'!O32</f>
        <v>11.91</v>
      </c>
      <c r="P9" s="24">
        <f>'[1]AUG 4'!P32</f>
        <v>11.92</v>
      </c>
      <c r="Q9" s="24">
        <f>'[1]AUG 4'!Q32</f>
        <v>11.95</v>
      </c>
      <c r="R9" s="24">
        <f>'[1]AUG 4'!R32</f>
        <v>11.94</v>
      </c>
      <c r="S9" s="24">
        <f>'[1]AUG 4'!S32</f>
        <v>11.93</v>
      </c>
      <c r="T9" s="24">
        <f>'[1]AUG 4'!T32</f>
        <v>11.93</v>
      </c>
      <c r="U9" s="24">
        <f>'[1]AUG 4'!U32</f>
        <v>11.95</v>
      </c>
      <c r="V9" s="24">
        <f>'[1]AUG 4'!V32</f>
        <v>12</v>
      </c>
      <c r="W9" s="24">
        <f>'[1]AUG 4'!W32</f>
        <v>11.98</v>
      </c>
      <c r="X9" s="24">
        <f>'[1]AUG 4'!X32</f>
        <v>11.94</v>
      </c>
      <c r="Y9" s="24">
        <f>'[1]AUG 4'!Y32</f>
        <v>11.95</v>
      </c>
      <c r="Z9" s="28">
        <f t="shared" si="0"/>
        <v>11.918333333333331</v>
      </c>
      <c r="AA9" s="26">
        <v>4</v>
      </c>
      <c r="AB9" s="27">
        <f t="shared" si="1"/>
        <v>12</v>
      </c>
      <c r="AC9" s="27">
        <f t="shared" si="2"/>
        <v>11.84</v>
      </c>
    </row>
    <row r="10" spans="1:42" ht="14.25" customHeight="1" x14ac:dyDescent="0.3">
      <c r="A10" s="23">
        <v>5</v>
      </c>
      <c r="B10" s="24">
        <f>'[1]AUG 5'!B32</f>
        <v>11.96</v>
      </c>
      <c r="C10" s="24">
        <f>'[1]AUG 5'!C32</f>
        <v>11.96</v>
      </c>
      <c r="D10" s="24">
        <f>'[1]AUG 5'!D32</f>
        <v>11.93</v>
      </c>
      <c r="E10" s="24">
        <f>'[1]AUG 5'!E32</f>
        <v>11.92</v>
      </c>
      <c r="F10" s="24">
        <f>'[1]AUG 5'!F32</f>
        <v>11.91</v>
      </c>
      <c r="G10" s="24">
        <f>'[1]AUG 5'!G32</f>
        <v>11.92</v>
      </c>
      <c r="H10" s="24">
        <f>'[1]AUG 5'!H32</f>
        <v>11.93</v>
      </c>
      <c r="I10" s="24">
        <f>'[1]AUG 5'!I32</f>
        <v>11.9</v>
      </c>
      <c r="J10" s="24">
        <f>'[1]AUG 5'!J32</f>
        <v>11.97</v>
      </c>
      <c r="K10" s="24">
        <f>'[1]AUG 5'!K32</f>
        <v>11.97</v>
      </c>
      <c r="L10" s="24">
        <f>'[1]AUG 5'!L32</f>
        <v>11.99</v>
      </c>
      <c r="M10" s="24">
        <f>'[1]AUG 5'!M32</f>
        <v>12.45</v>
      </c>
      <c r="N10" s="24">
        <f>'[1]AUG 5'!N32</f>
        <v>12.69</v>
      </c>
      <c r="O10" s="24">
        <f>'[1]AUG 5'!O32</f>
        <v>12.6</v>
      </c>
      <c r="P10" s="24">
        <f>'[1]AUG 5'!P32</f>
        <v>12.44</v>
      </c>
      <c r="Q10" s="24">
        <f>'[1]AUG 5'!Q32</f>
        <v>12.34</v>
      </c>
      <c r="R10" s="24">
        <f>'[1]AUG 5'!R32</f>
        <v>12.29</v>
      </c>
      <c r="S10" s="24">
        <f>'[1]AUG 5'!S32</f>
        <v>12.26</v>
      </c>
      <c r="T10" s="24">
        <f>'[1]AUG 5'!T32</f>
        <v>12.24</v>
      </c>
      <c r="U10" s="24">
        <f>'[1]AUG 5'!U32</f>
        <v>12.24</v>
      </c>
      <c r="V10" s="24">
        <f>'[1]AUG 5'!V32</f>
        <v>12.23</v>
      </c>
      <c r="W10" s="24">
        <f>'[1]AUG 5'!W32</f>
        <v>12.23</v>
      </c>
      <c r="X10" s="24">
        <f>'[1]AUG 5'!X32</f>
        <v>12.22</v>
      </c>
      <c r="Y10" s="24">
        <f>'[1]AUG 5'!Y32</f>
        <v>12.22</v>
      </c>
      <c r="Z10" s="28">
        <f t="shared" si="0"/>
        <v>12.158750000000003</v>
      </c>
      <c r="AA10" s="26">
        <v>5</v>
      </c>
      <c r="AB10" s="27">
        <f t="shared" si="1"/>
        <v>12.69</v>
      </c>
      <c r="AC10" s="27">
        <f t="shared" si="2"/>
        <v>11.9</v>
      </c>
    </row>
    <row r="11" spans="1:42" ht="14.25" customHeight="1" x14ac:dyDescent="0.3">
      <c r="A11" s="23">
        <v>6</v>
      </c>
      <c r="B11" s="24">
        <f>'[1]AUG 6'!B33</f>
        <v>12.22</v>
      </c>
      <c r="C11" s="24">
        <f>'[1]AUG 6'!C33</f>
        <v>12.2</v>
      </c>
      <c r="D11" s="24">
        <f>'[1]AUG 6'!D33</f>
        <v>12.2</v>
      </c>
      <c r="E11" s="24">
        <f>'[1]AUG 6'!E33</f>
        <v>12.2</v>
      </c>
      <c r="F11" s="24">
        <f>'[1]AUG 6'!F33</f>
        <v>12.18</v>
      </c>
      <c r="G11" s="24">
        <f>'[1]AUG 6'!G33</f>
        <v>12.16</v>
      </c>
      <c r="H11" s="24">
        <f>'[1]AUG 6'!H33</f>
        <v>12.15</v>
      </c>
      <c r="I11" s="24">
        <f>'[1]AUG 6'!I33</f>
        <v>12.13</v>
      </c>
      <c r="J11" s="24">
        <f>'[1]AUG 6'!J33</f>
        <v>12.12</v>
      </c>
      <c r="K11" s="24">
        <f>'[1]AUG 6'!K33</f>
        <v>12.11</v>
      </c>
      <c r="L11" s="24">
        <f>'[1]AUG 6'!L33</f>
        <v>12.11</v>
      </c>
      <c r="M11" s="24">
        <f>'[1]AUG 6'!M33</f>
        <v>12.11</v>
      </c>
      <c r="N11" s="24">
        <f>'[1]AUG 6'!N33</f>
        <v>12.08</v>
      </c>
      <c r="O11" s="24">
        <f>'[1]AUG 6'!O33</f>
        <v>12.09</v>
      </c>
      <c r="P11" s="24">
        <f>'[1]AUG 6'!P33</f>
        <v>12.07</v>
      </c>
      <c r="Q11" s="24">
        <f>'[1]AUG 6'!Q33</f>
        <v>12.06</v>
      </c>
      <c r="R11" s="24">
        <f>'[1]AUG 6'!R33</f>
        <v>12.05</v>
      </c>
      <c r="S11" s="24">
        <f>'[1]AUG 6'!S33</f>
        <v>12.04</v>
      </c>
      <c r="T11" s="24">
        <f>'[1]AUG 6'!T33</f>
        <v>12.02</v>
      </c>
      <c r="U11" s="24">
        <f>'[1]AUG 6'!U33</f>
        <v>12.02</v>
      </c>
      <c r="V11" s="24">
        <f>'[1]AUG 6'!V33</f>
        <v>12.02</v>
      </c>
      <c r="W11" s="24">
        <f>'[1]AUG 6'!W33</f>
        <v>12.02</v>
      </c>
      <c r="X11" s="24">
        <f>'[1]AUG 6'!X33</f>
        <v>12.02</v>
      </c>
      <c r="Y11" s="24">
        <f>'[1]AUG 6'!Y33</f>
        <v>12.01</v>
      </c>
      <c r="Z11" s="25">
        <f t="shared" si="0"/>
        <v>12.099583333333335</v>
      </c>
      <c r="AA11" s="26">
        <v>6</v>
      </c>
      <c r="AB11" s="27">
        <f>MAX(B11:Y11)</f>
        <v>12.22</v>
      </c>
      <c r="AC11" s="27">
        <f>MIN(B11:Y11)</f>
        <v>12.01</v>
      </c>
    </row>
    <row r="12" spans="1:42" ht="14.25" customHeight="1" x14ac:dyDescent="0.3">
      <c r="A12" s="23">
        <v>7</v>
      </c>
      <c r="B12" s="24">
        <f>'[1]AUG 7'!B33</f>
        <v>12</v>
      </c>
      <c r="C12" s="24">
        <f>'[1]AUG 7'!C33</f>
        <v>12.01</v>
      </c>
      <c r="D12" s="24">
        <f>'[1]AUG 7'!D33</f>
        <v>12.01</v>
      </c>
      <c r="E12" s="24">
        <f>'[1]AUG 7'!E33</f>
        <v>12.32</v>
      </c>
      <c r="F12" s="24">
        <f>'[1]AUG 7'!F33</f>
        <v>12.31</v>
      </c>
      <c r="G12" s="24">
        <f>'[1]AUG 7'!G33</f>
        <v>12.31</v>
      </c>
      <c r="H12" s="24">
        <f>'[1]AUG 7'!H33</f>
        <v>12.28</v>
      </c>
      <c r="I12" s="24">
        <f>'[1]AUG 7'!I33</f>
        <v>12.25</v>
      </c>
      <c r="J12" s="24">
        <f>'[1]AUG 7'!J33</f>
        <v>12.26</v>
      </c>
      <c r="K12" s="24">
        <f>'[1]AUG 7'!K33</f>
        <v>12.25</v>
      </c>
      <c r="L12" s="24">
        <f>'[1]AUG 7'!L33</f>
        <v>12.25</v>
      </c>
      <c r="M12" s="24">
        <f>'[1]AUG 7'!M33</f>
        <v>12.25</v>
      </c>
      <c r="N12" s="24">
        <f>'[1]AUG 7'!N33</f>
        <v>12.26</v>
      </c>
      <c r="O12" s="24">
        <f>'[1]AUG 7'!O33</f>
        <v>12.26</v>
      </c>
      <c r="P12" s="24">
        <f>'[1]AUG 7'!P33</f>
        <v>12.25</v>
      </c>
      <c r="Q12" s="24">
        <f>'[1]AUG 7'!Q33</f>
        <v>12.25</v>
      </c>
      <c r="R12" s="24">
        <f>'[1]AUG 7'!R33</f>
        <v>12.25</v>
      </c>
      <c r="S12" s="24">
        <f>'[1]AUG 7'!S33</f>
        <v>12.26</v>
      </c>
      <c r="T12" s="24">
        <f>'[1]AUG 7'!T33</f>
        <v>12.26</v>
      </c>
      <c r="U12" s="24">
        <f>'[1]AUG 7'!U33</f>
        <v>12.35</v>
      </c>
      <c r="V12" s="24">
        <f>'[1]AUG 7'!V33</f>
        <v>12.37</v>
      </c>
      <c r="W12" s="24">
        <f>'[1]AUG 7'!W33</f>
        <v>12.3</v>
      </c>
      <c r="X12" s="24">
        <f>'[1]AUG 7'!X33</f>
        <v>12.27</v>
      </c>
      <c r="Y12" s="24">
        <f>'[1]AUG 7'!Y33</f>
        <v>12.29</v>
      </c>
      <c r="Z12" s="25">
        <f t="shared" si="0"/>
        <v>12.244583333333331</v>
      </c>
      <c r="AA12" s="26">
        <v>7</v>
      </c>
      <c r="AB12" s="27">
        <f t="shared" si="1"/>
        <v>12.37</v>
      </c>
      <c r="AC12" s="27">
        <f t="shared" si="2"/>
        <v>12</v>
      </c>
    </row>
    <row r="13" spans="1:42" ht="14.25" customHeight="1" x14ac:dyDescent="0.3">
      <c r="A13" s="23">
        <v>8</v>
      </c>
      <c r="B13" s="24">
        <f>'[1]AUG 8'!B33</f>
        <v>12.28</v>
      </c>
      <c r="C13" s="24">
        <f>'[1]AUG 8'!C33</f>
        <v>12.31</v>
      </c>
      <c r="D13" s="24">
        <f>'[1]AUG 8'!D33</f>
        <v>12.35</v>
      </c>
      <c r="E13" s="24">
        <f>'[1]AUG 8'!E33</f>
        <v>12.5</v>
      </c>
      <c r="F13" s="24">
        <f>'[1]AUG 8'!F33</f>
        <v>12.24</v>
      </c>
      <c r="G13" s="24">
        <f>'[1]AUG 8'!G33</f>
        <v>12.22</v>
      </c>
      <c r="H13" s="24">
        <f>'[1]AUG 8'!H33</f>
        <v>12.22</v>
      </c>
      <c r="I13" s="24">
        <f>'[1]AUG 8'!I33</f>
        <v>12.19</v>
      </c>
      <c r="J13" s="24">
        <f>'[1]AUG 8'!J33</f>
        <v>12.22</v>
      </c>
      <c r="K13" s="24">
        <f>'[1]AUG 8'!K33</f>
        <v>12.21</v>
      </c>
      <c r="L13" s="24">
        <f>'[1]AUG 8'!L33</f>
        <v>12.21</v>
      </c>
      <c r="M13" s="24">
        <f>'[1]AUG 8'!M33</f>
        <v>12.3</v>
      </c>
      <c r="N13" s="24">
        <f>'[1]AUG 8'!N33</f>
        <v>12.25</v>
      </c>
      <c r="O13" s="24">
        <f>'[1]AUG 8'!O33</f>
        <v>12.22</v>
      </c>
      <c r="P13" s="24">
        <f>'[1]AUG 8'!P33</f>
        <v>12.22</v>
      </c>
      <c r="Q13" s="24">
        <f>'[1]AUG 8'!Q33</f>
        <v>12.21</v>
      </c>
      <c r="R13" s="24">
        <f>'[1]AUG 8'!R33</f>
        <v>12.22</v>
      </c>
      <c r="S13" s="24">
        <f>'[1]AUG 8'!S33</f>
        <v>12.28</v>
      </c>
      <c r="T13" s="24">
        <f>'[1]AUG 8'!T33</f>
        <v>12.25</v>
      </c>
      <c r="U13" s="24">
        <f>'[1]AUG 8'!U33</f>
        <v>12.23</v>
      </c>
      <c r="V13" s="24">
        <f>'[1]AUG 8'!V33</f>
        <v>12.21</v>
      </c>
      <c r="W13" s="24">
        <f>'[1]AUG 8'!W33</f>
        <v>12.21</v>
      </c>
      <c r="X13" s="24">
        <f>'[1]AUG 8'!X33</f>
        <v>12.22</v>
      </c>
      <c r="Y13" s="24">
        <f>'[1]AUG 8'!Y33</f>
        <v>12.23</v>
      </c>
      <c r="Z13" s="25">
        <f t="shared" si="0"/>
        <v>12.250000000000002</v>
      </c>
      <c r="AA13" s="26">
        <v>8</v>
      </c>
      <c r="AB13" s="27">
        <f t="shared" si="1"/>
        <v>12.5</v>
      </c>
      <c r="AC13" s="27">
        <f t="shared" si="2"/>
        <v>12.19</v>
      </c>
    </row>
    <row r="14" spans="1:42" ht="14.25" customHeight="1" x14ac:dyDescent="0.3">
      <c r="A14" s="23">
        <v>9</v>
      </c>
      <c r="B14" s="24">
        <f>'[1]AUG 9'!B33</f>
        <v>12.23</v>
      </c>
      <c r="C14" s="24">
        <f>'[1]AUG 9'!C33</f>
        <v>12.24</v>
      </c>
      <c r="D14" s="24">
        <f>'[1]AUG 9'!D33</f>
        <v>12.25</v>
      </c>
      <c r="E14" s="24">
        <f>'[1]AUG 9'!E33</f>
        <v>12.24</v>
      </c>
      <c r="F14" s="24">
        <f>'[1]AUG 9'!F33</f>
        <v>12.22</v>
      </c>
      <c r="G14" s="24">
        <f>'[1]AUG 9'!G33</f>
        <v>12.22</v>
      </c>
      <c r="H14" s="24">
        <f>'[1]AUG 9'!H33</f>
        <v>12.23</v>
      </c>
      <c r="I14" s="24">
        <f>'[1]AUG 9'!I33</f>
        <v>12.2</v>
      </c>
      <c r="J14" s="24">
        <f>'[1]AUG 9'!J33</f>
        <v>12.24</v>
      </c>
      <c r="K14" s="24">
        <f>'[1]AUG 9'!K33</f>
        <v>12.21</v>
      </c>
      <c r="L14" s="24">
        <f>'[1]AUG 9'!L33</f>
        <v>12.22</v>
      </c>
      <c r="M14" s="24">
        <f>'[1]AUG 9'!M33</f>
        <v>12.23</v>
      </c>
      <c r="N14" s="24">
        <f>'[1]AUG 9'!N33</f>
        <v>12.26</v>
      </c>
      <c r="O14" s="24">
        <f>'[1]AUG 9'!O33</f>
        <v>12.26</v>
      </c>
      <c r="P14" s="24">
        <f>'[1]AUG 9'!P33</f>
        <v>12.26</v>
      </c>
      <c r="Q14" s="24">
        <f>'[1]AUG 9'!Q33</f>
        <v>12.26</v>
      </c>
      <c r="R14" s="24">
        <f>'[1]AUG 9'!R33</f>
        <v>12.26</v>
      </c>
      <c r="S14" s="24">
        <f>'[1]AUG 9'!S33</f>
        <v>12.26</v>
      </c>
      <c r="T14" s="24">
        <f>'[1]AUG 9'!T33</f>
        <v>12.26</v>
      </c>
      <c r="U14" s="24">
        <f>'[1]AUG 9'!U33</f>
        <v>12.31</v>
      </c>
      <c r="V14" s="24">
        <f>'[1]AUG 9'!V33</f>
        <v>12.31</v>
      </c>
      <c r="W14" s="24">
        <f>'[1]AUG 9'!W33</f>
        <v>12.49</v>
      </c>
      <c r="X14" s="24">
        <f>'[1]AUG 9'!X33</f>
        <v>12.59</v>
      </c>
      <c r="Y14" s="24">
        <f>'[1]AUG 9'!Y33</f>
        <v>12.45</v>
      </c>
      <c r="Z14" s="25">
        <f t="shared" si="0"/>
        <v>12.279166666666661</v>
      </c>
      <c r="AA14" s="26">
        <v>9</v>
      </c>
      <c r="AB14" s="27">
        <f t="shared" si="1"/>
        <v>12.59</v>
      </c>
      <c r="AC14" s="27">
        <f t="shared" si="2"/>
        <v>12.2</v>
      </c>
    </row>
    <row r="15" spans="1:42" ht="14.25" customHeight="1" x14ac:dyDescent="0.3">
      <c r="A15" s="23">
        <v>10</v>
      </c>
      <c r="B15" s="24">
        <f>'[1]AUG 10'!B33</f>
        <v>12.41</v>
      </c>
      <c r="C15" s="24">
        <f>'[1]AUG 10'!C33</f>
        <v>12.4</v>
      </c>
      <c r="D15" s="24">
        <f>'[1]AUG 10'!D33</f>
        <v>12.4</v>
      </c>
      <c r="E15" s="24">
        <f>'[1]AUG 10'!E33</f>
        <v>12.51</v>
      </c>
      <c r="F15" s="24">
        <f>'[1]AUG 10'!F33</f>
        <v>12.96</v>
      </c>
      <c r="G15" s="24">
        <f>'[1]AUG 10'!G33</f>
        <v>11.82</v>
      </c>
      <c r="H15" s="24">
        <f>'[1]AUG 10'!H33</f>
        <v>12.65</v>
      </c>
      <c r="I15" s="24">
        <f>'[1]AUG 10'!I33</f>
        <v>12.53</v>
      </c>
      <c r="J15" s="24">
        <f>'[1]AUG 10'!J33</f>
        <v>12.46</v>
      </c>
      <c r="K15" s="24">
        <f>'[1]AUG 10'!K33</f>
        <v>12.44</v>
      </c>
      <c r="L15" s="24">
        <f>'[1]AUG 10'!L33</f>
        <v>12.47</v>
      </c>
      <c r="M15" s="24">
        <f>'[1]AUG 10'!M33</f>
        <v>12.47</v>
      </c>
      <c r="N15" s="24">
        <f>'[1]AUG 10'!N33</f>
        <v>12.4</v>
      </c>
      <c r="O15" s="24">
        <f>'[1]AUG 10'!O33</f>
        <v>12.38</v>
      </c>
      <c r="P15" s="24">
        <f>'[1]AUG 10'!P33</f>
        <v>12.37</v>
      </c>
      <c r="Q15" s="24">
        <f>'[1]AUG 10'!Q33</f>
        <v>12.4</v>
      </c>
      <c r="R15" s="24">
        <f>'[1]AUG 10'!R33</f>
        <v>12.39</v>
      </c>
      <c r="S15" s="24">
        <f>'[1]AUG 10'!S33</f>
        <v>12.38</v>
      </c>
      <c r="T15" s="24">
        <f>'[1]AUG 10'!T33</f>
        <v>12.35</v>
      </c>
      <c r="U15" s="24">
        <f>'[1]AUG 10'!U33</f>
        <v>12.33</v>
      </c>
      <c r="V15" s="24">
        <f>'[1]AUG 10'!V33</f>
        <v>12.32</v>
      </c>
      <c r="W15" s="24">
        <f>'[1]AUG 10'!W33</f>
        <v>12.32</v>
      </c>
      <c r="X15" s="24">
        <f>'[1]AUG 10'!X33</f>
        <v>12.32</v>
      </c>
      <c r="Y15" s="24">
        <f>'[1]AUG 10'!Y33</f>
        <v>12.31</v>
      </c>
      <c r="Z15" s="25">
        <f t="shared" si="0"/>
        <v>12.407916666666667</v>
      </c>
      <c r="AA15" s="26">
        <v>10</v>
      </c>
      <c r="AB15" s="27">
        <f t="shared" si="1"/>
        <v>12.96</v>
      </c>
      <c r="AC15" s="27">
        <f t="shared" si="2"/>
        <v>11.82</v>
      </c>
    </row>
    <row r="16" spans="1:42" ht="14.25" customHeight="1" x14ac:dyDescent="0.3">
      <c r="A16" s="23">
        <v>11</v>
      </c>
      <c r="B16" s="24">
        <f>'[1]AUG 11'!B33</f>
        <v>12.32</v>
      </c>
      <c r="C16" s="24">
        <f>'[1]AUG 11'!C33</f>
        <v>12.31</v>
      </c>
      <c r="D16" s="24">
        <f>'[1]AUG 11'!D33</f>
        <v>12.31</v>
      </c>
      <c r="E16" s="24">
        <f>'[1]AUG 11'!E33</f>
        <v>12.3</v>
      </c>
      <c r="F16" s="24">
        <f>'[1]AUG 11'!F33</f>
        <v>12.3</v>
      </c>
      <c r="G16" s="24">
        <f>'[1]AUG 11'!G33</f>
        <v>12.29</v>
      </c>
      <c r="H16" s="24">
        <f>'[1]AUG 11'!H33</f>
        <v>12.28</v>
      </c>
      <c r="I16" s="24">
        <f>'[1]AUG 11'!I33</f>
        <v>12.29</v>
      </c>
      <c r="J16" s="24">
        <f>'[1]AUG 11'!J33</f>
        <v>12.27</v>
      </c>
      <c r="K16" s="24">
        <f>'[1]AUG 11'!K33</f>
        <v>12.26</v>
      </c>
      <c r="L16" s="24">
        <f>'[1]AUG 11'!L33</f>
        <v>12.27</v>
      </c>
      <c r="M16" s="24">
        <f>'[1]AUG 11'!M33</f>
        <v>12.26</v>
      </c>
      <c r="N16" s="24">
        <f>'[1]AUG 11'!N33</f>
        <v>12.27</v>
      </c>
      <c r="O16" s="24">
        <f>'[1]AUG 11'!O33</f>
        <v>12.27</v>
      </c>
      <c r="P16" s="24">
        <f>'[1]AUG 11'!P33</f>
        <v>12.26</v>
      </c>
      <c r="Q16" s="24">
        <f>'[1]AUG 11'!Q33</f>
        <v>12.29</v>
      </c>
      <c r="R16" s="24">
        <f>'[1]AUG 11'!R33</f>
        <v>12.31</v>
      </c>
      <c r="S16" s="24">
        <f>'[1]AUG 11'!S33</f>
        <v>12.28</v>
      </c>
      <c r="T16" s="24">
        <f>'[1]AUG 11'!T33</f>
        <v>12.27</v>
      </c>
      <c r="U16" s="24">
        <f>'[1]AUG 11'!U33</f>
        <v>12.23</v>
      </c>
      <c r="V16" s="24">
        <f>'[1]AUG 11'!V33</f>
        <v>12.21</v>
      </c>
      <c r="W16" s="24">
        <f>'[1]AUG 11'!W33</f>
        <v>12.22</v>
      </c>
      <c r="X16" s="24">
        <f>'[1]AUG 11'!X33</f>
        <v>12.22</v>
      </c>
      <c r="Y16" s="24">
        <f>'[1]AUG 11'!Y33</f>
        <v>12.22</v>
      </c>
      <c r="Z16" s="25">
        <f t="shared" si="0"/>
        <v>12.271250000000004</v>
      </c>
      <c r="AA16" s="26">
        <v>11</v>
      </c>
      <c r="AB16" s="27">
        <f t="shared" si="1"/>
        <v>12.32</v>
      </c>
      <c r="AC16" s="27">
        <f t="shared" si="2"/>
        <v>12.21</v>
      </c>
    </row>
    <row r="17" spans="1:29" ht="14.25" customHeight="1" x14ac:dyDescent="0.3">
      <c r="A17" s="23">
        <v>12</v>
      </c>
      <c r="B17" s="24">
        <f>'[1]AUG 12'!B33</f>
        <v>12.22</v>
      </c>
      <c r="C17" s="24">
        <f>'[1]AUG 12'!C33</f>
        <v>12.23</v>
      </c>
      <c r="D17" s="24">
        <f>'[1]AUG 12'!D33</f>
        <v>12.21</v>
      </c>
      <c r="E17" s="24">
        <f>'[1]AUG 12'!E33</f>
        <v>12.21</v>
      </c>
      <c r="F17" s="24">
        <f>'[1]AUG 12'!F33</f>
        <v>12.19</v>
      </c>
      <c r="G17" s="24">
        <f>'[1]AUG 12'!G33</f>
        <v>12.19</v>
      </c>
      <c r="H17" s="24">
        <f>'[1]AUG 12'!H33</f>
        <v>12.19</v>
      </c>
      <c r="I17" s="24">
        <f>'[1]AUG 12'!I33</f>
        <v>12.18</v>
      </c>
      <c r="J17" s="24">
        <f>'[1]AUG 12'!J33</f>
        <v>12.17</v>
      </c>
      <c r="K17" s="24">
        <f>'[1]AUG 12'!K33</f>
        <v>12.17</v>
      </c>
      <c r="L17" s="24">
        <f>'[1]AUG 12'!L33</f>
        <v>12.16</v>
      </c>
      <c r="M17" s="24">
        <f>'[1]AUG 12'!M33</f>
        <v>12.16</v>
      </c>
      <c r="N17" s="24">
        <f>'[1]AUG 12'!N33</f>
        <v>12.17</v>
      </c>
      <c r="O17" s="24">
        <f>'[1]AUG 12'!O33</f>
        <v>12.19</v>
      </c>
      <c r="P17" s="24">
        <f>'[1]AUG 12'!P33</f>
        <v>12.26</v>
      </c>
      <c r="Q17" s="24">
        <f>'[1]AUG 12'!Q33</f>
        <v>12.24</v>
      </c>
      <c r="R17" s="24">
        <f>'[1]AUG 12'!R33</f>
        <v>12.19</v>
      </c>
      <c r="S17" s="24">
        <f>'[1]AUG 12'!S33</f>
        <v>12.16</v>
      </c>
      <c r="T17" s="24">
        <f>'[1]AUG 12'!T33</f>
        <v>12.15</v>
      </c>
      <c r="U17" s="24">
        <f>'[1]AUG 12'!U33</f>
        <v>12.17</v>
      </c>
      <c r="V17" s="24">
        <f>'[1]AUG 12'!V33</f>
        <v>12.15</v>
      </c>
      <c r="W17" s="24">
        <f>'[1]AUG 12'!W33</f>
        <v>12.17</v>
      </c>
      <c r="X17" s="24">
        <f>'[1]AUG 12'!X33</f>
        <v>12.15</v>
      </c>
      <c r="Y17" s="24">
        <f>'[1]AUG 12'!Y33</f>
        <v>12.14</v>
      </c>
      <c r="Z17" s="25">
        <f t="shared" si="0"/>
        <v>12.184166666666664</v>
      </c>
      <c r="AA17" s="26">
        <v>12</v>
      </c>
      <c r="AB17" s="27">
        <f t="shared" si="1"/>
        <v>12.26</v>
      </c>
      <c r="AC17" s="27">
        <f t="shared" si="2"/>
        <v>12.14</v>
      </c>
    </row>
    <row r="18" spans="1:29" ht="14.25" customHeight="1" x14ac:dyDescent="0.3">
      <c r="A18" s="23">
        <v>13</v>
      </c>
      <c r="B18" s="24">
        <f>'[1]AUG 13'!B33</f>
        <v>12.15</v>
      </c>
      <c r="C18" s="24">
        <f>'[1]AUG 13'!C33</f>
        <v>12.14</v>
      </c>
      <c r="D18" s="24">
        <f>'[1]AUG 13'!D33</f>
        <v>12.13</v>
      </c>
      <c r="E18" s="24">
        <f>'[1]AUG 13'!E33</f>
        <v>12.11</v>
      </c>
      <c r="F18" s="24">
        <f>'[1]AUG 13'!F33</f>
        <v>12.11</v>
      </c>
      <c r="G18" s="24">
        <f>'[1]AUG 13'!G33</f>
        <v>12.11</v>
      </c>
      <c r="H18" s="24">
        <f>'[1]AUG 13'!H33</f>
        <v>12.11</v>
      </c>
      <c r="I18" s="24">
        <f>'[1]AUG 13'!I33</f>
        <v>12.11</v>
      </c>
      <c r="J18" s="24">
        <f>'[1]AUG 13'!J33</f>
        <v>12.12</v>
      </c>
      <c r="K18" s="24">
        <f>'[1]AUG 13'!K33</f>
        <v>12.12</v>
      </c>
      <c r="L18" s="24">
        <f>'[1]AUG 13'!L33</f>
        <v>12.13</v>
      </c>
      <c r="M18" s="24">
        <f>'[1]AUG 13'!M33</f>
        <v>12.12</v>
      </c>
      <c r="N18" s="24">
        <f>'[1]AUG 13'!N33</f>
        <v>12.13</v>
      </c>
      <c r="O18" s="24">
        <f>'[1]AUG 13'!O33</f>
        <v>12.12</v>
      </c>
      <c r="P18" s="24">
        <f>'[1]AUG 13'!P33</f>
        <v>12.16</v>
      </c>
      <c r="Q18" s="24">
        <f>'[1]AUG 13'!Q33</f>
        <v>12.18</v>
      </c>
      <c r="R18" s="24">
        <f>'[1]AUG 13'!R33</f>
        <v>12.35</v>
      </c>
      <c r="S18" s="24">
        <f>'[1]AUG 13'!S33</f>
        <v>12.46</v>
      </c>
      <c r="T18" s="24">
        <f>'[1]AUG 13'!T33</f>
        <v>12.26</v>
      </c>
      <c r="U18" s="24">
        <f>'[1]AUG 13'!U33</f>
        <v>12.22</v>
      </c>
      <c r="V18" s="24">
        <f>'[1]AUG 13'!V33</f>
        <v>12.16</v>
      </c>
      <c r="W18" s="24">
        <f>'[1]AUG 13'!W33</f>
        <v>12.13</v>
      </c>
      <c r="X18" s="24">
        <f>'[1]AUG 13'!X33</f>
        <v>12.14</v>
      </c>
      <c r="Y18" s="24">
        <f>'[1]AUG 13'!Y33</f>
        <v>12.12</v>
      </c>
      <c r="Z18" s="25">
        <f t="shared" si="0"/>
        <v>12.162083333333333</v>
      </c>
      <c r="AA18" s="26">
        <v>13</v>
      </c>
      <c r="AB18" s="27">
        <f t="shared" si="1"/>
        <v>12.46</v>
      </c>
      <c r="AC18" s="27">
        <f t="shared" si="2"/>
        <v>12.11</v>
      </c>
    </row>
    <row r="19" spans="1:29" ht="14.25" customHeight="1" x14ac:dyDescent="0.3">
      <c r="A19" s="23">
        <v>14</v>
      </c>
      <c r="B19" s="24">
        <f>'[1]AUG 14'!B33</f>
        <v>12.11</v>
      </c>
      <c r="C19" s="24">
        <f>'[1]AUG 14'!C33</f>
        <v>12.11</v>
      </c>
      <c r="D19" s="24">
        <f>'[1]AUG 14'!D33</f>
        <v>12.12</v>
      </c>
      <c r="E19" s="24">
        <f>'[1]AUG 14'!E33</f>
        <v>12.11</v>
      </c>
      <c r="F19" s="24">
        <f>'[1]AUG 14'!F33</f>
        <v>12.09</v>
      </c>
      <c r="G19" s="24">
        <f>'[1]AUG 14'!G33</f>
        <v>12.09</v>
      </c>
      <c r="H19" s="24">
        <f>'[1]AUG 14'!H33</f>
        <v>12.08</v>
      </c>
      <c r="I19" s="24">
        <f>'[1]AUG 14'!I33</f>
        <v>12.07</v>
      </c>
      <c r="J19" s="24">
        <f>'[1]AUG 14'!J33</f>
        <v>12.09</v>
      </c>
      <c r="K19" s="24">
        <f>'[1]AUG 14'!K33</f>
        <v>12.07</v>
      </c>
      <c r="L19" s="24">
        <f>'[1]AUG 14'!L33</f>
        <v>12.07</v>
      </c>
      <c r="M19" s="24">
        <f>'[1]AUG 14'!M33</f>
        <v>12.18</v>
      </c>
      <c r="N19" s="24">
        <f>'[1]AUG 14'!N33</f>
        <v>12.14</v>
      </c>
      <c r="O19" s="24">
        <f>'[1]AUG 14'!O33</f>
        <v>12.12</v>
      </c>
      <c r="P19" s="24">
        <f>'[1]AUG 14'!P33</f>
        <v>12.19</v>
      </c>
      <c r="Q19" s="24">
        <f>'[1]AUG 14'!Q33</f>
        <v>12.2</v>
      </c>
      <c r="R19" s="24">
        <f>'[1]AUG 14'!R33</f>
        <v>12.18</v>
      </c>
      <c r="S19" s="24">
        <f>'[1]AUG 14'!S33</f>
        <v>12.15</v>
      </c>
      <c r="T19" s="24">
        <f>'[1]AUG 14'!T33</f>
        <v>12.15</v>
      </c>
      <c r="U19" s="24">
        <f>'[1]AUG 14'!U33</f>
        <v>12.14</v>
      </c>
      <c r="V19" s="24">
        <f>'[1]AUG 14'!V33</f>
        <v>12.13</v>
      </c>
      <c r="W19" s="24">
        <f>'[1]AUG 14'!W33</f>
        <v>12.14</v>
      </c>
      <c r="X19" s="24">
        <f>'[1]AUG 14'!X33</f>
        <v>12.13</v>
      </c>
      <c r="Y19" s="24">
        <f>'[1]AUG 14'!Y33</f>
        <v>12.15</v>
      </c>
      <c r="Z19" s="25">
        <f t="shared" si="0"/>
        <v>12.125416666666665</v>
      </c>
      <c r="AA19" s="26">
        <v>14</v>
      </c>
      <c r="AB19" s="27">
        <f t="shared" si="1"/>
        <v>12.2</v>
      </c>
      <c r="AC19" s="27">
        <f t="shared" si="2"/>
        <v>12.07</v>
      </c>
    </row>
    <row r="20" spans="1:29" ht="14.25" customHeight="1" x14ac:dyDescent="0.3">
      <c r="A20" s="23">
        <v>15</v>
      </c>
      <c r="B20" s="24">
        <f>'[1]AUG 15'!B33</f>
        <v>12.14</v>
      </c>
      <c r="C20" s="24">
        <f>'[1]AUG 15'!C33</f>
        <v>12.13</v>
      </c>
      <c r="D20" s="24">
        <f>'[1]AUG 15'!D33</f>
        <v>12.13</v>
      </c>
      <c r="E20" s="24">
        <f>'[1]AUG 15'!E33</f>
        <v>12.13</v>
      </c>
      <c r="F20" s="24">
        <f>'[1]AUG 15'!F33</f>
        <v>12.12</v>
      </c>
      <c r="G20" s="24">
        <f>'[1]AUG 15'!G33</f>
        <v>12.12</v>
      </c>
      <c r="H20" s="24">
        <f>'[1]AUG 15'!H33</f>
        <v>12.09</v>
      </c>
      <c r="I20" s="24">
        <f>'[1]AUG 15'!I33</f>
        <v>12.09</v>
      </c>
      <c r="J20" s="24">
        <f>'[1]AUG 15'!J33</f>
        <v>12.1</v>
      </c>
      <c r="K20" s="24">
        <f>'[1]AUG 15'!K33</f>
        <v>12.11</v>
      </c>
      <c r="L20" s="24">
        <f>'[1]AUG 15'!L33</f>
        <v>12.1</v>
      </c>
      <c r="M20" s="24">
        <f>'[1]AUG 15'!M33</f>
        <v>12.25</v>
      </c>
      <c r="N20" s="24">
        <f>'[1]AUG 15'!N33</f>
        <v>12.18</v>
      </c>
      <c r="O20" s="24">
        <f>'[1]AUG 15'!O33</f>
        <v>12.12</v>
      </c>
      <c r="P20" s="24">
        <f>'[1]AUG 15'!P33</f>
        <v>12.13</v>
      </c>
      <c r="Q20" s="24">
        <f>'[1]AUG 15'!Q33</f>
        <v>12.12</v>
      </c>
      <c r="R20" s="24">
        <f>'[1]AUG 15'!R33</f>
        <v>12.13</v>
      </c>
      <c r="S20" s="24">
        <f>'[1]AUG 15'!S33</f>
        <v>12.12</v>
      </c>
      <c r="T20" s="24">
        <f>'[1]AUG 15'!T33</f>
        <v>12.12</v>
      </c>
      <c r="U20" s="24">
        <f>'[1]AUG 15'!U33</f>
        <v>12.11</v>
      </c>
      <c r="V20" s="24">
        <f>'[1]AUG 15'!V33</f>
        <v>12.11</v>
      </c>
      <c r="W20" s="24">
        <f>'[1]AUG 15'!W33</f>
        <v>12.11</v>
      </c>
      <c r="X20" s="24">
        <f>'[1]AUG 15'!X33</f>
        <v>12.11</v>
      </c>
      <c r="Y20" s="24">
        <f>'[1]AUG 15'!Y33</f>
        <v>12.11</v>
      </c>
      <c r="Z20" s="25">
        <f t="shared" si="0"/>
        <v>12.124166666666669</v>
      </c>
      <c r="AA20" s="26">
        <v>15</v>
      </c>
      <c r="AB20" s="27">
        <f t="shared" si="1"/>
        <v>12.25</v>
      </c>
      <c r="AC20" s="27">
        <f t="shared" si="2"/>
        <v>12.09</v>
      </c>
    </row>
    <row r="21" spans="1:29" ht="14.25" customHeight="1" x14ac:dyDescent="0.3">
      <c r="A21" s="23">
        <v>16</v>
      </c>
      <c r="B21" s="24">
        <f>'[1]AUG 16'!B33</f>
        <v>12.09</v>
      </c>
      <c r="C21" s="24">
        <f>'[1]AUG 16'!C33</f>
        <v>12.09</v>
      </c>
      <c r="D21" s="24">
        <f>'[1]AUG 16'!D33</f>
        <v>12.11</v>
      </c>
      <c r="E21" s="24">
        <f>'[1]AUG 16'!E33</f>
        <v>12.1</v>
      </c>
      <c r="F21" s="24">
        <f>'[1]AUG 16'!F33</f>
        <v>12.09</v>
      </c>
      <c r="G21" s="24">
        <f>'[1]AUG 16'!G33</f>
        <v>12.09</v>
      </c>
      <c r="H21" s="24">
        <f>'[1]AUG 16'!H33</f>
        <v>12.09</v>
      </c>
      <c r="I21" s="24">
        <f>'[1]AUG 16'!I33</f>
        <v>12.09</v>
      </c>
      <c r="J21" s="24">
        <f>'[1]AUG 16'!J33</f>
        <v>12.07</v>
      </c>
      <c r="K21" s="24">
        <f>'[1]AUG 16'!K33</f>
        <v>12.09</v>
      </c>
      <c r="L21" s="24">
        <f>'[1]AUG 16'!L33</f>
        <v>12.14</v>
      </c>
      <c r="M21" s="24">
        <f>'[1]AUG 16'!M33</f>
        <v>12.08</v>
      </c>
      <c r="N21" s="24">
        <f>'[1]AUG 16'!N33</f>
        <v>12.07</v>
      </c>
      <c r="O21" s="24">
        <f>'[1]AUG 16'!O33</f>
        <v>12.1</v>
      </c>
      <c r="P21" s="24">
        <f>'[1]AUG 16'!P33</f>
        <v>12.09</v>
      </c>
      <c r="Q21" s="24">
        <f>'[1]AUG 16'!Q33</f>
        <v>12.09</v>
      </c>
      <c r="R21" s="24">
        <f>'[1]AUG 16'!R33</f>
        <v>12.08</v>
      </c>
      <c r="S21" s="24">
        <f>'[1]AUG 16'!S33</f>
        <v>12.09</v>
      </c>
      <c r="T21" s="24">
        <f>'[1]AUG 16'!T33</f>
        <v>12.07</v>
      </c>
      <c r="U21" s="24">
        <f>'[1]AUG 16'!U33</f>
        <v>12.07</v>
      </c>
      <c r="V21" s="24">
        <f>'[1]AUG 16'!V33</f>
        <v>12.08</v>
      </c>
      <c r="W21" s="24">
        <f>'[1]AUG 16'!W33</f>
        <v>12.09</v>
      </c>
      <c r="X21" s="24">
        <f>'[1]AUG 16'!X33</f>
        <v>12.08</v>
      </c>
      <c r="Y21" s="24">
        <f>'[1]AUG 16'!Y33</f>
        <v>12.08</v>
      </c>
      <c r="Z21" s="25">
        <f t="shared" si="0"/>
        <v>12.088333333333333</v>
      </c>
      <c r="AA21" s="26">
        <v>16</v>
      </c>
      <c r="AB21" s="27">
        <f t="shared" si="1"/>
        <v>12.14</v>
      </c>
      <c r="AC21" s="27">
        <f t="shared" si="2"/>
        <v>12.07</v>
      </c>
    </row>
    <row r="22" spans="1:29" ht="14.25" customHeight="1" x14ac:dyDescent="0.3">
      <c r="A22" s="23">
        <v>17</v>
      </c>
      <c r="B22" s="24">
        <f>'[1]AUG 17'!B33</f>
        <v>12.09</v>
      </c>
      <c r="C22" s="24">
        <f>'[1]AUG 17'!C33</f>
        <v>12.08</v>
      </c>
      <c r="D22" s="24">
        <f>'[1]AUG 17'!D33</f>
        <v>12.08</v>
      </c>
      <c r="E22" s="24">
        <f>'[1]AUG 17'!E33</f>
        <v>12.08</v>
      </c>
      <c r="F22" s="24">
        <f>'[1]AUG 17'!F33</f>
        <v>12.08</v>
      </c>
      <c r="G22" s="24">
        <f>'[1]AUG 17'!G33</f>
        <v>12.09</v>
      </c>
      <c r="H22" s="24">
        <f>'[1]AUG 17'!H33</f>
        <v>12.08</v>
      </c>
      <c r="I22" s="24">
        <f>'[1]AUG 17'!I33</f>
        <v>12.07</v>
      </c>
      <c r="J22" s="24">
        <f>'[1]AUG 17'!J33</f>
        <v>12.06</v>
      </c>
      <c r="K22" s="24">
        <f>'[1]AUG 17'!K33</f>
        <v>12.05</v>
      </c>
      <c r="L22" s="24">
        <f>'[1]AUG 17'!L33</f>
        <v>12.04</v>
      </c>
      <c r="M22" s="24">
        <f>'[1]AUG 17'!M33</f>
        <v>12.03</v>
      </c>
      <c r="N22" s="24">
        <f>'[1]AUG 17'!N33</f>
        <v>12.05</v>
      </c>
      <c r="O22" s="24">
        <f>'[1]AUG 17'!O33</f>
        <v>12.07</v>
      </c>
      <c r="P22" s="24">
        <f>'[1]AUG 17'!P33</f>
        <v>12.07</v>
      </c>
      <c r="Q22" s="24">
        <f>'[1]AUG 17'!Q33</f>
        <v>12.08</v>
      </c>
      <c r="R22" s="24">
        <f>'[1]AUG 17'!R33</f>
        <v>12.06</v>
      </c>
      <c r="S22" s="24">
        <f>'[1]AUG 17'!S33</f>
        <v>12.05</v>
      </c>
      <c r="T22" s="24">
        <f>'[1]AUG 17'!T33</f>
        <v>12.05</v>
      </c>
      <c r="U22" s="24">
        <f>'[1]AUG 17'!U33</f>
        <v>12.06</v>
      </c>
      <c r="V22" s="24">
        <f>'[1]AUG 17'!V33</f>
        <v>12.06</v>
      </c>
      <c r="W22" s="24">
        <f>'[1]AUG 17'!W33</f>
        <v>12.06</v>
      </c>
      <c r="X22" s="24">
        <f>'[1]AUG 17'!X33</f>
        <v>12.07</v>
      </c>
      <c r="Y22" s="24">
        <f>'[1]AUG 17'!Y33</f>
        <v>12.08</v>
      </c>
      <c r="Z22" s="25">
        <f t="shared" si="0"/>
        <v>12.066250000000002</v>
      </c>
      <c r="AA22" s="26">
        <v>17</v>
      </c>
      <c r="AB22" s="27">
        <f>MAX(B22:Y22)</f>
        <v>12.09</v>
      </c>
      <c r="AC22" s="27">
        <f>MIN(B22:Y22)</f>
        <v>12.03</v>
      </c>
    </row>
    <row r="23" spans="1:29" ht="14.25" customHeight="1" x14ac:dyDescent="0.3">
      <c r="A23" s="23">
        <v>18</v>
      </c>
      <c r="B23" s="24">
        <f>'[1]AUG 18'!B33</f>
        <v>12.08</v>
      </c>
      <c r="C23" s="24">
        <f>'[1]AUG 18'!C33</f>
        <v>12.07</v>
      </c>
      <c r="D23" s="24">
        <f>'[1]AUG 18'!D33</f>
        <v>12.06</v>
      </c>
      <c r="E23" s="24">
        <f>'[1]AUG 18'!E33</f>
        <v>12.06</v>
      </c>
      <c r="F23" s="24">
        <f>'[1]AUG 18'!F33</f>
        <v>12.05</v>
      </c>
      <c r="G23" s="24">
        <f>'[1]AUG 18'!G33</f>
        <v>12.06</v>
      </c>
      <c r="H23" s="24">
        <f>'[1]AUG 18'!H33</f>
        <v>12.06</v>
      </c>
      <c r="I23" s="24">
        <f>'[1]AUG 18'!I33</f>
        <v>12.05</v>
      </c>
      <c r="J23" s="24">
        <f>'[1]AUG 18'!J33</f>
        <v>12.06</v>
      </c>
      <c r="K23" s="24">
        <f>'[1]AUG 18'!K33</f>
        <v>12.05</v>
      </c>
      <c r="L23" s="24">
        <f>'[1]AUG 18'!L33</f>
        <v>12.05</v>
      </c>
      <c r="M23" s="24">
        <f>'[1]AUG 18'!M33</f>
        <v>12.05</v>
      </c>
      <c r="N23" s="24">
        <f>'[1]AUG 18'!N33</f>
        <v>12</v>
      </c>
      <c r="O23" s="24">
        <f>'[1]AUG 18'!O33</f>
        <v>12.22</v>
      </c>
      <c r="P23" s="24">
        <f>'[1]AUG 18'!P33</f>
        <v>12.35</v>
      </c>
      <c r="Q23" s="24">
        <f>'[1]AUG 18'!Q33</f>
        <v>12.12</v>
      </c>
      <c r="R23" s="24">
        <f>'[1]AUG 18'!R33</f>
        <v>12.02</v>
      </c>
      <c r="S23" s="24">
        <f>'[1]AUG 18'!S33</f>
        <v>12.04</v>
      </c>
      <c r="T23" s="24">
        <f>'[1]AUG 18'!T33</f>
        <v>12.05</v>
      </c>
      <c r="U23" s="24">
        <f>'[1]AUG 18'!U33</f>
        <v>12.03</v>
      </c>
      <c r="V23" s="24">
        <f>'[1]AUG 18'!V33</f>
        <v>12.03</v>
      </c>
      <c r="W23" s="24">
        <f>'[1]AUG 18'!W33</f>
        <v>12.03</v>
      </c>
      <c r="X23" s="24">
        <f>'[1]AUG 18'!X33</f>
        <v>12.04</v>
      </c>
      <c r="Y23" s="24">
        <f>'[1]AUG 18'!Y33</f>
        <v>12.05</v>
      </c>
      <c r="Z23" s="25">
        <f t="shared" si="0"/>
        <v>12.070000000000002</v>
      </c>
      <c r="AA23" s="26">
        <v>18</v>
      </c>
      <c r="AB23" s="27">
        <f t="shared" si="1"/>
        <v>12.35</v>
      </c>
      <c r="AC23" s="27">
        <f t="shared" si="2"/>
        <v>12</v>
      </c>
    </row>
    <row r="24" spans="1:29" ht="14.25" customHeight="1" x14ac:dyDescent="0.3">
      <c r="A24" s="23">
        <v>19</v>
      </c>
      <c r="B24" s="24">
        <f>'[1]AUG 19'!B33</f>
        <v>12.06</v>
      </c>
      <c r="C24" s="24">
        <f>'[1]AUG 19'!C33</f>
        <v>12.05</v>
      </c>
      <c r="D24" s="24">
        <f>'[1]AUG 19'!D33</f>
        <v>12.06</v>
      </c>
      <c r="E24" s="24">
        <f>'[1]AUG 19'!E33</f>
        <v>12.05</v>
      </c>
      <c r="F24" s="24">
        <f>'[1]AUG 19'!F33</f>
        <v>12.03</v>
      </c>
      <c r="G24" s="24">
        <f>'[1]AUG 19'!G33</f>
        <v>12.04</v>
      </c>
      <c r="H24" s="24">
        <f>'[1]AUG 19'!H33</f>
        <v>12.03</v>
      </c>
      <c r="I24" s="24">
        <f>'[1]AUG 19'!I33</f>
        <v>12.03</v>
      </c>
      <c r="J24" s="24">
        <f>'[1]AUG 19'!J33</f>
        <v>12.06</v>
      </c>
      <c r="K24" s="24">
        <f>'[1]AUG 19'!K33</f>
        <v>12.09</v>
      </c>
      <c r="L24" s="24" t="str">
        <f>'[1]AUG 19'!L33</f>
        <v>**</v>
      </c>
      <c r="M24" s="24">
        <f>'[1]AUG 19'!M33</f>
        <v>11.99</v>
      </c>
      <c r="N24" s="24">
        <f>'[1]AUG 19'!N33</f>
        <v>12.01</v>
      </c>
      <c r="O24" s="24">
        <f>'[1]AUG 19'!O33</f>
        <v>12</v>
      </c>
      <c r="P24" s="24">
        <f>'[1]AUG 19'!P33</f>
        <v>12</v>
      </c>
      <c r="Q24" s="24">
        <f>'[1]AUG 19'!Q33</f>
        <v>11.98</v>
      </c>
      <c r="R24" s="24">
        <f>'[1]AUG 19'!R33</f>
        <v>11.99</v>
      </c>
      <c r="S24" s="24">
        <f>'[1]AUG 19'!S33</f>
        <v>11.99</v>
      </c>
      <c r="T24" s="24">
        <f>'[1]AUG 19'!T33</f>
        <v>11.99</v>
      </c>
      <c r="U24" s="24">
        <f>'[1]AUG 19'!U33</f>
        <v>11.98</v>
      </c>
      <c r="V24" s="24">
        <f>'[1]AUG 19'!V33</f>
        <v>11.98</v>
      </c>
      <c r="W24" s="24">
        <f>'[1]AUG 19'!W33</f>
        <v>12</v>
      </c>
      <c r="X24" s="24">
        <f>'[1]AUG 19'!X33</f>
        <v>12</v>
      </c>
      <c r="Y24" s="24">
        <f>'[1]AUG 19'!Y33</f>
        <v>12.01</v>
      </c>
      <c r="Z24" s="25">
        <f t="shared" si="0"/>
        <v>12.018260869565216</v>
      </c>
      <c r="AA24" s="26">
        <v>19</v>
      </c>
      <c r="AB24" s="27">
        <f t="shared" si="1"/>
        <v>12.09</v>
      </c>
      <c r="AC24" s="27">
        <f t="shared" si="2"/>
        <v>11.98</v>
      </c>
    </row>
    <row r="25" spans="1:29" ht="14.25" customHeight="1" x14ac:dyDescent="0.3">
      <c r="A25" s="23">
        <v>20</v>
      </c>
      <c r="B25" s="24">
        <f>'[1]AUG 20'!B33</f>
        <v>12.03</v>
      </c>
      <c r="C25" s="24">
        <f>'[1]AUG 20'!C33</f>
        <v>12.04</v>
      </c>
      <c r="D25" s="24">
        <f>'[1]AUG 20'!D33</f>
        <v>12.04</v>
      </c>
      <c r="E25" s="24">
        <f>'[1]AUG 20'!E33</f>
        <v>12.04</v>
      </c>
      <c r="F25" s="24">
        <f>'[1]AUG 20'!F33</f>
        <v>12.02</v>
      </c>
      <c r="G25" s="24">
        <f>'[1]AUG 20'!G33</f>
        <v>12.02</v>
      </c>
      <c r="H25" s="24">
        <f>'[1]AUG 20'!H33</f>
        <v>12.03</v>
      </c>
      <c r="I25" s="24">
        <f>'[1]AUG 20'!I33</f>
        <v>12.08</v>
      </c>
      <c r="J25" s="24">
        <f>'[1]AUG 20'!J33</f>
        <v>12.48</v>
      </c>
      <c r="K25" s="24">
        <f>'[1]AUG 20'!K33</f>
        <v>12.22</v>
      </c>
      <c r="L25" s="24">
        <f>'[1]AUG 20'!L33</f>
        <v>12.02</v>
      </c>
      <c r="M25" s="24">
        <f>'[1]AUG 20'!M33</f>
        <v>11.98</v>
      </c>
      <c r="N25" s="24">
        <f>'[1]AUG 20'!N33</f>
        <v>11.98</v>
      </c>
      <c r="O25" s="24">
        <f>'[1]AUG 20'!O33</f>
        <v>11.98</v>
      </c>
      <c r="P25" s="24">
        <f>'[1]AUG 20'!P33</f>
        <v>11.99</v>
      </c>
      <c r="Q25" s="24">
        <f>'[1]AUG 20'!Q33</f>
        <v>12</v>
      </c>
      <c r="R25" s="24">
        <f>'[1]AUG 20'!R33</f>
        <v>12</v>
      </c>
      <c r="S25" s="24">
        <f>'[1]AUG 20'!S33</f>
        <v>11.99</v>
      </c>
      <c r="T25" s="24">
        <f>'[1]AUG 20'!T33</f>
        <v>11.98</v>
      </c>
      <c r="U25" s="24">
        <f>'[1]AUG 20'!U33</f>
        <v>11.98</v>
      </c>
      <c r="V25" s="24">
        <f>'[1]AUG 20'!V33</f>
        <v>11.97</v>
      </c>
      <c r="W25" s="24">
        <f>'[1]AUG 20'!W33</f>
        <v>11.97</v>
      </c>
      <c r="X25" s="24">
        <f>'[1]AUG 20'!X33</f>
        <v>11.99</v>
      </c>
      <c r="Y25" s="24">
        <f>'[1]AUG 20'!Y33</f>
        <v>11.99</v>
      </c>
      <c r="Z25" s="25">
        <f t="shared" si="0"/>
        <v>12.034166666666666</v>
      </c>
      <c r="AA25" s="26">
        <v>20</v>
      </c>
      <c r="AB25" s="27">
        <f t="shared" si="1"/>
        <v>12.48</v>
      </c>
      <c r="AC25" s="27">
        <f t="shared" si="2"/>
        <v>11.97</v>
      </c>
    </row>
    <row r="26" spans="1:29" ht="14.25" customHeight="1" x14ac:dyDescent="0.3">
      <c r="A26" s="23">
        <v>21</v>
      </c>
      <c r="B26" s="24">
        <f>'[1]AUG 21'!B33</f>
        <v>12</v>
      </c>
      <c r="C26" s="24">
        <f>'[1]AUG 21'!C33</f>
        <v>12</v>
      </c>
      <c r="D26" s="24">
        <f>'[1]AUG 21'!D33</f>
        <v>12.03</v>
      </c>
      <c r="E26" s="24">
        <f>'[1]AUG 21'!E33</f>
        <v>12.03</v>
      </c>
      <c r="F26" s="24">
        <f>'[1]AUG 21'!F33</f>
        <v>12.02</v>
      </c>
      <c r="G26" s="24">
        <f>'[1]AUG 21'!G33</f>
        <v>12</v>
      </c>
      <c r="H26" s="24">
        <f>'[1]AUG 21'!H33</f>
        <v>12</v>
      </c>
      <c r="I26" s="24">
        <f>'[1]AUG 21'!I33</f>
        <v>12</v>
      </c>
      <c r="J26" s="24">
        <f>'[1]AUG 21'!J33</f>
        <v>11.97</v>
      </c>
      <c r="K26" s="24">
        <f>'[1]AUG 21'!K33</f>
        <v>11.98</v>
      </c>
      <c r="L26" s="24">
        <f>'[1]AUG 21'!L33</f>
        <v>12.04</v>
      </c>
      <c r="M26" s="24">
        <f>'[1]AUG 21'!M33</f>
        <v>11.99</v>
      </c>
      <c r="N26" s="24">
        <f>'[1]AUG 21'!N33</f>
        <v>11.97</v>
      </c>
      <c r="O26" s="24">
        <f>'[1]AUG 21'!O33</f>
        <v>11.96</v>
      </c>
      <c r="P26" s="24">
        <f>'[1]AUG 21'!P33</f>
        <v>11.96</v>
      </c>
      <c r="Q26" s="24">
        <f>'[1]AUG 21'!Q33</f>
        <v>11.97</v>
      </c>
      <c r="R26" s="24">
        <f>'[1]AUG 21'!R33</f>
        <v>11.96</v>
      </c>
      <c r="S26" s="24">
        <f>'[1]AUG 21'!S33</f>
        <v>11.96</v>
      </c>
      <c r="T26" s="24">
        <f>'[1]AUG 21'!T33</f>
        <v>11.97</v>
      </c>
      <c r="U26" s="24">
        <f>'[1]AUG 21'!U33</f>
        <v>11.96</v>
      </c>
      <c r="V26" s="24">
        <f>'[1]AUG 21'!V33</f>
        <v>11.95</v>
      </c>
      <c r="W26" s="24">
        <f>'[1]AUG 21'!W33</f>
        <v>11.95</v>
      </c>
      <c r="X26" s="24">
        <f>'[1]AUG 21'!X33</f>
        <v>11.95</v>
      </c>
      <c r="Y26" s="24">
        <f>'[1]AUG 21'!Y33</f>
        <v>11.96</v>
      </c>
      <c r="Z26" s="25">
        <f t="shared" si="0"/>
        <v>11.9825</v>
      </c>
      <c r="AA26" s="26">
        <v>21</v>
      </c>
      <c r="AB26" s="27">
        <f t="shared" si="1"/>
        <v>12.04</v>
      </c>
      <c r="AC26" s="27">
        <f t="shared" si="2"/>
        <v>11.95</v>
      </c>
    </row>
    <row r="27" spans="1:29" ht="14.25" customHeight="1" x14ac:dyDescent="0.3">
      <c r="A27" s="23">
        <v>22</v>
      </c>
      <c r="B27" s="24">
        <f>'[1]AUG 22'!B33</f>
        <v>11.97</v>
      </c>
      <c r="C27" s="24">
        <f>'[1]AUG 22'!C33</f>
        <v>11.98</v>
      </c>
      <c r="D27" s="24">
        <f>'[1]AUG 22'!D33</f>
        <v>12.01</v>
      </c>
      <c r="E27" s="24">
        <f>'[1]AUG 22'!E33</f>
        <v>12.02</v>
      </c>
      <c r="F27" s="24">
        <f>'[1]AUG 22'!F33</f>
        <v>12</v>
      </c>
      <c r="G27" s="24">
        <f>'[1]AUG 22'!G33</f>
        <v>12.02</v>
      </c>
      <c r="H27" s="24">
        <f>'[1]AUG 22'!H33</f>
        <v>12</v>
      </c>
      <c r="I27" s="24">
        <f>'[1]AUG 22'!I33</f>
        <v>11.99</v>
      </c>
      <c r="J27" s="24">
        <f>'[1]AUG 22'!J33</f>
        <v>11.97</v>
      </c>
      <c r="K27" s="24">
        <f>'[1]AUG 22'!K33</f>
        <v>12.01</v>
      </c>
      <c r="L27" s="24">
        <f>'[1]AUG 22'!L33</f>
        <v>11.95</v>
      </c>
      <c r="M27" s="24">
        <f>'[1]AUG 22'!M33</f>
        <v>11.96</v>
      </c>
      <c r="N27" s="24">
        <f>'[1]AUG 22'!N33</f>
        <v>11.96</v>
      </c>
      <c r="O27" s="24">
        <f>'[1]AUG 22'!O33</f>
        <v>11.96</v>
      </c>
      <c r="P27" s="24">
        <f>'[1]AUG 22'!P33</f>
        <v>11.95</v>
      </c>
      <c r="Q27" s="24">
        <f>'[1]AUG 22'!Q33</f>
        <v>11.95</v>
      </c>
      <c r="R27" s="24">
        <f>'[1]AUG 22'!R33</f>
        <v>11.95</v>
      </c>
      <c r="S27" s="24">
        <f>'[1]AUG 22'!S33</f>
        <v>11.95</v>
      </c>
      <c r="T27" s="24">
        <f>'[1]AUG 22'!T33</f>
        <v>11.94</v>
      </c>
      <c r="U27" s="24">
        <f>'[1]AUG 22'!U33</f>
        <v>11.94</v>
      </c>
      <c r="V27" s="24">
        <f>'[1]AUG 22'!V33</f>
        <v>11.94</v>
      </c>
      <c r="W27" s="24">
        <f>'[1]AUG 22'!W33</f>
        <v>11.92</v>
      </c>
      <c r="X27" s="24">
        <f>'[1]AUG 22'!X33</f>
        <v>11.91</v>
      </c>
      <c r="Y27" s="24">
        <f>'[1]AUG 22'!Y33</f>
        <v>11.92</v>
      </c>
      <c r="Z27" s="25">
        <f t="shared" si="0"/>
        <v>11.965416666666668</v>
      </c>
      <c r="AA27" s="26">
        <v>22</v>
      </c>
      <c r="AB27" s="27">
        <f t="shared" si="1"/>
        <v>12.02</v>
      </c>
      <c r="AC27" s="27">
        <f t="shared" si="2"/>
        <v>11.91</v>
      </c>
    </row>
    <row r="28" spans="1:29" ht="14.25" customHeight="1" x14ac:dyDescent="0.3">
      <c r="A28" s="23">
        <v>23</v>
      </c>
      <c r="B28" s="24">
        <f>'[1]AUG 23'!B33</f>
        <v>11.92</v>
      </c>
      <c r="C28" s="24">
        <f>'[1]AUG 23'!C33</f>
        <v>11.95</v>
      </c>
      <c r="D28" s="24">
        <f>'[1]AUG 23'!D33</f>
        <v>11.96</v>
      </c>
      <c r="E28" s="24">
        <f>'[1]AUG 23'!E33</f>
        <v>11.96</v>
      </c>
      <c r="F28" s="24">
        <f>'[1]AUG 23'!F33</f>
        <v>11.96</v>
      </c>
      <c r="G28" s="24">
        <f>'[1]AUG 23'!G33</f>
        <v>11.97</v>
      </c>
      <c r="H28" s="24">
        <f>'[1]AUG 23'!H33</f>
        <v>12.06</v>
      </c>
      <c r="I28" s="24">
        <f>'[1]AUG 23'!I33</f>
        <v>11.99</v>
      </c>
      <c r="J28" s="24">
        <f>'[1]AUG 23'!J33</f>
        <v>11.94</v>
      </c>
      <c r="K28" s="24">
        <f>'[1]AUG 23'!K33</f>
        <v>11.96</v>
      </c>
      <c r="L28" s="24">
        <f>'[1]AUG 23'!L33</f>
        <v>12</v>
      </c>
      <c r="M28" s="24">
        <f>'[1]AUG 23'!M33</f>
        <v>11.99</v>
      </c>
      <c r="N28" s="24">
        <f>'[1]AUG 23'!N33</f>
        <v>11.97</v>
      </c>
      <c r="O28" s="24">
        <f>'[1]AUG 23'!O33</f>
        <v>11.97</v>
      </c>
      <c r="P28" s="24">
        <f>'[1]AUG 23'!P33</f>
        <v>11.93</v>
      </c>
      <c r="Q28" s="24">
        <f>'[1]AUG 23'!Q33</f>
        <v>11.89</v>
      </c>
      <c r="R28" s="24">
        <f>'[1]AUG 23'!R33</f>
        <v>11.91</v>
      </c>
      <c r="S28" s="24">
        <f>'[1]AUG 23'!S33</f>
        <v>11.96</v>
      </c>
      <c r="T28" s="24">
        <f>'[1]AUG 23'!T33</f>
        <v>11.96</v>
      </c>
      <c r="U28" s="24">
        <f>'[1]AUG 23'!U33</f>
        <v>11.97</v>
      </c>
      <c r="V28" s="24">
        <f>'[1]AUG 23'!V33</f>
        <v>11.94</v>
      </c>
      <c r="W28" s="24">
        <f>'[1]AUG 23'!W33</f>
        <v>11.92</v>
      </c>
      <c r="X28" s="24">
        <f>'[1]AUG 23'!X33</f>
        <v>11.92</v>
      </c>
      <c r="Y28" s="24">
        <f>'[1]AUG 23'!Y33</f>
        <v>11.93</v>
      </c>
      <c r="Z28" s="25">
        <f t="shared" si="0"/>
        <v>11.95541666666667</v>
      </c>
      <c r="AA28" s="26">
        <v>23</v>
      </c>
      <c r="AB28" s="27">
        <f t="shared" si="1"/>
        <v>12.06</v>
      </c>
      <c r="AC28" s="27">
        <f t="shared" si="2"/>
        <v>11.89</v>
      </c>
    </row>
    <row r="29" spans="1:29" ht="14.25" customHeight="1" x14ac:dyDescent="0.3">
      <c r="A29" s="23">
        <v>24</v>
      </c>
      <c r="B29" s="24">
        <f>'[1]AUG 24'!B33</f>
        <v>11.92</v>
      </c>
      <c r="C29" s="24">
        <f>'[1]AUG 24'!C33</f>
        <v>11.9</v>
      </c>
      <c r="D29" s="24">
        <f>'[1]AUG 24'!D33</f>
        <v>11.9</v>
      </c>
      <c r="E29" s="24">
        <f>'[1]AUG 24'!E33</f>
        <v>11.92</v>
      </c>
      <c r="F29" s="24">
        <f>'[1]AUG 24'!F33</f>
        <v>11.97</v>
      </c>
      <c r="G29" s="24">
        <f>'[1]AUG 24'!G33</f>
        <v>11.98</v>
      </c>
      <c r="H29" s="24">
        <f>'[1]AUG 24'!H33</f>
        <v>11.97</v>
      </c>
      <c r="I29" s="24">
        <f>'[1]AUG 24'!I33</f>
        <v>11.95</v>
      </c>
      <c r="J29" s="24">
        <f>'[1]AUG 24'!J33</f>
        <v>11.94</v>
      </c>
      <c r="K29" s="24">
        <f>'[1]AUG 24'!K33</f>
        <v>11.92</v>
      </c>
      <c r="L29" s="24">
        <f>'[1]AUG 24'!L33</f>
        <v>12.02</v>
      </c>
      <c r="M29" s="24">
        <f>'[1]AUG 24'!M33</f>
        <v>12.01</v>
      </c>
      <c r="N29" s="24">
        <f>'[1]AUG 24'!N33</f>
        <v>11.99</v>
      </c>
      <c r="O29" s="24">
        <f>'[1]AUG 24'!O33</f>
        <v>11.96</v>
      </c>
      <c r="P29" s="24">
        <f>'[1]AUG 24'!P33</f>
        <v>11.93</v>
      </c>
      <c r="Q29" s="24">
        <f>'[1]AUG 24'!Q33</f>
        <v>11.93</v>
      </c>
      <c r="R29" s="24">
        <f>'[1]AUG 24'!R33</f>
        <v>11.93</v>
      </c>
      <c r="S29" s="24">
        <f>'[1]AUG 24'!S33</f>
        <v>11.93</v>
      </c>
      <c r="T29" s="24">
        <f>'[1]AUG 24'!T33</f>
        <v>11.94</v>
      </c>
      <c r="U29" s="24">
        <f>'[1]AUG 24'!U33</f>
        <v>11.94</v>
      </c>
      <c r="V29" s="24">
        <f>'[1]AUG 24'!V33</f>
        <v>11.91</v>
      </c>
      <c r="W29" s="24">
        <f>'[1]AUG 24'!W33</f>
        <v>11.9</v>
      </c>
      <c r="X29" s="24">
        <f>'[1]AUG 24'!X33</f>
        <v>11.89</v>
      </c>
      <c r="Y29" s="24">
        <f>'[1]AUG 24'!Y33</f>
        <v>11.89</v>
      </c>
      <c r="Z29" s="25">
        <f t="shared" si="0"/>
        <v>11.939166666666667</v>
      </c>
      <c r="AA29" s="26">
        <v>24</v>
      </c>
      <c r="AB29" s="27">
        <f t="shared" si="1"/>
        <v>12.02</v>
      </c>
      <c r="AC29" s="27">
        <f>MIN(B29:Y29)</f>
        <v>11.89</v>
      </c>
    </row>
    <row r="30" spans="1:29" ht="14.25" customHeight="1" x14ac:dyDescent="0.3">
      <c r="A30" s="23">
        <v>25</v>
      </c>
      <c r="B30" s="24">
        <f>'[1]AUG 25'!B33</f>
        <v>11.88</v>
      </c>
      <c r="C30" s="24">
        <f>'[1]AUG 25'!C33</f>
        <v>11.88</v>
      </c>
      <c r="D30" s="24">
        <f>'[1]AUG 25'!D33</f>
        <v>11.88</v>
      </c>
      <c r="E30" s="24">
        <f>'[1]AUG 25'!E33</f>
        <v>11.89</v>
      </c>
      <c r="F30" s="24">
        <f>'[1]AUG 25'!F33</f>
        <v>11.89</v>
      </c>
      <c r="G30" s="24">
        <f>'[1]AUG 25'!G33</f>
        <v>11.89</v>
      </c>
      <c r="H30" s="24">
        <f>'[1]AUG 25'!H33</f>
        <v>11.94</v>
      </c>
      <c r="I30" s="24">
        <f>'[1]AUG 25'!I33</f>
        <v>11.89</v>
      </c>
      <c r="J30" s="24">
        <f>'[1]AUG 25'!J33</f>
        <v>12.11</v>
      </c>
      <c r="K30" s="24">
        <f>'[1]AUG 25'!K33</f>
        <v>12.2</v>
      </c>
      <c r="L30" s="24">
        <f>'[1]AUG 25'!L33</f>
        <v>12.12</v>
      </c>
      <c r="M30" s="24">
        <f>'[1]AUG 25'!M33</f>
        <v>12.04</v>
      </c>
      <c r="N30" s="24">
        <f>'[1]AUG 25'!N33</f>
        <v>11.96</v>
      </c>
      <c r="O30" s="24">
        <f>'[1]AUG 25'!O33</f>
        <v>11.93</v>
      </c>
      <c r="P30" s="24">
        <f>'[1]AUG 25'!P33</f>
        <v>11.92</v>
      </c>
      <c r="Q30" s="24">
        <f>'[1]AUG 25'!Q33</f>
        <v>11.92</v>
      </c>
      <c r="R30" s="24">
        <f>'[1]AUG 25'!R33</f>
        <v>11.93</v>
      </c>
      <c r="S30" s="24">
        <f>'[1]AUG 25'!S33</f>
        <v>11.93</v>
      </c>
      <c r="T30" s="24">
        <f>'[1]AUG 25'!T33</f>
        <v>11.94</v>
      </c>
      <c r="U30" s="24">
        <f>'[1]AUG 25'!U33</f>
        <v>11.94</v>
      </c>
      <c r="V30" s="24">
        <f>'[1]AUG 25'!V33</f>
        <v>11.92</v>
      </c>
      <c r="W30" s="24">
        <f>'[1]AUG 25'!W33</f>
        <v>11.92</v>
      </c>
      <c r="X30" s="24">
        <f>'[1]AUG 25'!X33</f>
        <v>11.91</v>
      </c>
      <c r="Y30" s="24">
        <f>'[1]AUG 25'!Y33</f>
        <v>11.91</v>
      </c>
      <c r="Z30" s="25">
        <f t="shared" si="0"/>
        <v>11.9475</v>
      </c>
      <c r="AA30" s="26">
        <v>25</v>
      </c>
      <c r="AB30" s="27">
        <f t="shared" si="1"/>
        <v>12.2</v>
      </c>
      <c r="AC30" s="27">
        <f t="shared" si="2"/>
        <v>11.88</v>
      </c>
    </row>
    <row r="31" spans="1:29" ht="14.25" customHeight="1" x14ac:dyDescent="0.3">
      <c r="A31" s="23">
        <v>26</v>
      </c>
      <c r="B31" s="24">
        <f>'[1]AUG 26'!B33</f>
        <v>11.91</v>
      </c>
      <c r="C31" s="24">
        <f>'[1]AUG 26'!C33</f>
        <v>11.91</v>
      </c>
      <c r="D31" s="24">
        <f>'[1]AUG 26'!D33</f>
        <v>11.9</v>
      </c>
      <c r="E31" s="24">
        <f>'[1]AUG 26'!E33</f>
        <v>11.89</v>
      </c>
      <c r="F31" s="24">
        <f>'[1]AUG 26'!F33</f>
        <v>11.9</v>
      </c>
      <c r="G31" s="24">
        <f>'[1]AUG 26'!G33</f>
        <v>11.91</v>
      </c>
      <c r="H31" s="24">
        <f>'[1]AUG 26'!H33</f>
        <v>11.93</v>
      </c>
      <c r="I31" s="24">
        <f>'[1]AUG 26'!I33</f>
        <v>11.93</v>
      </c>
      <c r="J31" s="24">
        <f>'[1]AUG 26'!J33</f>
        <v>11.93</v>
      </c>
      <c r="K31" s="24">
        <f>'[1]AUG 26'!K33</f>
        <v>11.97</v>
      </c>
      <c r="L31" s="24">
        <f>'[1]AUG 26'!L33</f>
        <v>11.96</v>
      </c>
      <c r="M31" s="24">
        <f>'[1]AUG 26'!M33</f>
        <v>11.94</v>
      </c>
      <c r="N31" s="24">
        <f>'[1]AUG 26'!N33</f>
        <v>11.92</v>
      </c>
      <c r="O31" s="24">
        <f>'[1]AUG 26'!O33</f>
        <v>11.95</v>
      </c>
      <c r="P31" s="24">
        <f>'[1]AUG 26'!P33</f>
        <v>11.91</v>
      </c>
      <c r="Q31" s="24">
        <f>'[1]AUG 26'!Q33</f>
        <v>11.93</v>
      </c>
      <c r="R31" s="24">
        <f>'[1]AUG 26'!R33</f>
        <v>11.94</v>
      </c>
      <c r="S31" s="24">
        <f>'[1]AUG 26'!S33</f>
        <v>12.02</v>
      </c>
      <c r="T31" s="24">
        <f>'[1]AUG 26'!T33</f>
        <v>11.98</v>
      </c>
      <c r="U31" s="24">
        <f>'[1]AUG 26'!U33</f>
        <v>11.94</v>
      </c>
      <c r="V31" s="24">
        <f>'[1]AUG 26'!V33</f>
        <v>11.97</v>
      </c>
      <c r="W31" s="24">
        <f>'[1]AUG 26'!W33</f>
        <v>11.96</v>
      </c>
      <c r="X31" s="24">
        <f>'[1]AUG 26'!X33</f>
        <v>11.95</v>
      </c>
      <c r="Y31" s="24">
        <f>'[1]AUG 26'!Y33</f>
        <v>11.94</v>
      </c>
      <c r="Z31" s="25">
        <f t="shared" si="0"/>
        <v>11.937083333333332</v>
      </c>
      <c r="AA31" s="26">
        <v>26</v>
      </c>
      <c r="AB31" s="27">
        <f t="shared" si="1"/>
        <v>12.02</v>
      </c>
      <c r="AC31" s="27">
        <f>MIN(B31:Y31)</f>
        <v>11.89</v>
      </c>
    </row>
    <row r="32" spans="1:29" ht="14.25" customHeight="1" x14ac:dyDescent="0.3">
      <c r="A32" s="23">
        <v>27</v>
      </c>
      <c r="B32" s="24">
        <f>'[1]AUG 27'!B33</f>
        <v>11.94</v>
      </c>
      <c r="C32" s="24">
        <f>'[1]AUG 27'!C33</f>
        <v>11.91</v>
      </c>
      <c r="D32" s="24">
        <f>'[1]AUG 27'!D33</f>
        <v>11.9</v>
      </c>
      <c r="E32" s="24">
        <f>'[1]AUG 27'!E33</f>
        <v>11.9</v>
      </c>
      <c r="F32" s="24">
        <f>'[1]AUG 27'!F33</f>
        <v>11.9</v>
      </c>
      <c r="G32" s="24">
        <f>'[1]AUG 27'!G33</f>
        <v>11.9</v>
      </c>
      <c r="H32" s="24">
        <f>'[1]AUG 27'!H33</f>
        <v>11.9</v>
      </c>
      <c r="I32" s="24">
        <f>'[1]AUG 27'!I33</f>
        <v>11.9</v>
      </c>
      <c r="J32" s="24">
        <f>'[1]AUG 27'!J33</f>
        <v>11.9</v>
      </c>
      <c r="K32" s="24">
        <f>'[1]AUG 27'!K33</f>
        <v>11.9</v>
      </c>
      <c r="L32" s="24">
        <f>'[1]AUG 27'!L33</f>
        <v>11.9</v>
      </c>
      <c r="M32" s="24">
        <f>'[1]AUG 27'!M33</f>
        <v>11.9</v>
      </c>
      <c r="N32" s="24">
        <f>'[1]AUG 27'!N33</f>
        <v>11.9</v>
      </c>
      <c r="O32" s="24">
        <f>'[1]AUG 27'!O33</f>
        <v>12.11</v>
      </c>
      <c r="P32" s="24">
        <f>'[1]AUG 27'!P33</f>
        <v>12.68</v>
      </c>
      <c r="Q32" s="24">
        <f>'[1]AUG 27'!Q33</f>
        <v>13.03</v>
      </c>
      <c r="R32" s="24">
        <f>'[1]AUG 27'!R33</f>
        <v>13.03</v>
      </c>
      <c r="S32" s="24">
        <f>'[1]AUG 27'!S33</f>
        <v>12.94</v>
      </c>
      <c r="T32" s="24">
        <f>'[1]AUG 27'!T33</f>
        <v>13.18</v>
      </c>
      <c r="U32" s="24">
        <f>'[1]AUG 27'!U33</f>
        <v>13.51</v>
      </c>
      <c r="V32" s="24">
        <f>'[1]AUG 27'!V33</f>
        <v>13.86</v>
      </c>
      <c r="W32" s="24">
        <f>'[1]AUG 27'!W33</f>
        <v>14.29</v>
      </c>
      <c r="X32" s="24">
        <f>'[1]AUG 27'!X33</f>
        <v>14.3</v>
      </c>
      <c r="Y32" s="24">
        <f>'[1]AUG 27'!Y33</f>
        <v>14.16</v>
      </c>
      <c r="Z32" s="25">
        <f t="shared" si="0"/>
        <v>12.57666666666667</v>
      </c>
      <c r="AA32" s="26">
        <v>27</v>
      </c>
      <c r="AB32" s="27">
        <f t="shared" si="1"/>
        <v>14.3</v>
      </c>
      <c r="AC32" s="27">
        <f t="shared" si="2"/>
        <v>11.9</v>
      </c>
    </row>
    <row r="33" spans="1:29" ht="14.25" customHeight="1" x14ac:dyDescent="0.3">
      <c r="A33" s="23">
        <v>28</v>
      </c>
      <c r="B33" s="24">
        <f>'[1]AUG 28'!B33</f>
        <v>13.88</v>
      </c>
      <c r="C33" s="24">
        <f>'[1]AUG 28'!C33</f>
        <v>13.59</v>
      </c>
      <c r="D33" s="24">
        <f>'[1]AUG 28'!D33</f>
        <v>13.36</v>
      </c>
      <c r="E33" s="24">
        <f>'[1]AUG 28'!E33</f>
        <v>13.19</v>
      </c>
      <c r="F33" s="24">
        <f>'[1]AUG 28'!F33</f>
        <v>13.06</v>
      </c>
      <c r="G33" s="24">
        <f>'[1]AUG 28'!G33</f>
        <v>12.97</v>
      </c>
      <c r="H33" s="24">
        <f>'[1]AUG 28'!H33</f>
        <v>12.93</v>
      </c>
      <c r="I33" s="24">
        <f>'[1]AUG 28'!I33</f>
        <v>12.9</v>
      </c>
      <c r="J33" s="24">
        <f>'[1]AUG 28'!J33</f>
        <v>12.87</v>
      </c>
      <c r="K33" s="24">
        <f>'[1]AUG 28'!K33</f>
        <v>12.87</v>
      </c>
      <c r="L33" s="24">
        <f>'[1]AUG 28'!L33</f>
        <v>12.83</v>
      </c>
      <c r="M33" s="24">
        <f>'[1]AUG 28'!M33</f>
        <v>12.79</v>
      </c>
      <c r="N33" s="24">
        <f>'[1]AUG 28'!N33</f>
        <v>12.75</v>
      </c>
      <c r="O33" s="24">
        <f>'[1]AUG 28'!O33</f>
        <v>12.69</v>
      </c>
      <c r="P33" s="24">
        <f>'[1]AUG 28'!P33</f>
        <v>12.66</v>
      </c>
      <c r="Q33" s="24">
        <f>'[1]AUG 28'!Q33</f>
        <v>12.63</v>
      </c>
      <c r="R33" s="24">
        <f>'[1]AUG 28'!R33</f>
        <v>12.59</v>
      </c>
      <c r="S33" s="24">
        <f>'[1]AUG 28'!S33</f>
        <v>12.58</v>
      </c>
      <c r="T33" s="24">
        <f>'[1]AUG 28'!T33</f>
        <v>12.55</v>
      </c>
      <c r="U33" s="24">
        <f>'[1]AUG 28'!U33</f>
        <v>12.52</v>
      </c>
      <c r="V33" s="24">
        <f>'[1]AUG 28'!V33</f>
        <v>12.49</v>
      </c>
      <c r="W33" s="24">
        <f>'[1]AUG 28'!W33</f>
        <v>12.47</v>
      </c>
      <c r="X33" s="24">
        <f>'[1]AUG 28'!X33</f>
        <v>12.44</v>
      </c>
      <c r="Y33" s="24">
        <f>'[1]AUG 28'!Y33</f>
        <v>12.44</v>
      </c>
      <c r="Z33" s="25">
        <f t="shared" si="0"/>
        <v>12.835416666666669</v>
      </c>
      <c r="AA33" s="26">
        <v>28</v>
      </c>
      <c r="AB33" s="27">
        <f t="shared" si="1"/>
        <v>13.88</v>
      </c>
      <c r="AC33" s="27">
        <f t="shared" si="2"/>
        <v>12.44</v>
      </c>
    </row>
    <row r="34" spans="1:29" ht="14.25" customHeight="1" x14ac:dyDescent="0.3">
      <c r="A34" s="23">
        <v>29</v>
      </c>
      <c r="B34" s="24">
        <f>'[1]AUG 29'!B33</f>
        <v>12.42</v>
      </c>
      <c r="C34" s="24">
        <f>'[1]AUG 29'!C33</f>
        <v>12.39</v>
      </c>
      <c r="D34" s="24">
        <f>'[1]AUG 29'!D33</f>
        <v>12.39</v>
      </c>
      <c r="E34" s="24">
        <f>'[1]AUG 29'!E33</f>
        <v>12.34</v>
      </c>
      <c r="F34" s="24">
        <f>'[1]AUG 29'!F33</f>
        <v>12.32</v>
      </c>
      <c r="G34" s="24">
        <f>'[1]AUG 29'!G33</f>
        <v>12.32</v>
      </c>
      <c r="H34" s="24">
        <f>'[1]AUG 29'!H33</f>
        <v>12.31</v>
      </c>
      <c r="I34" s="24">
        <f>'[1]AUG 29'!I33</f>
        <v>12.29</v>
      </c>
      <c r="J34" s="24">
        <f>'[1]AUG 29'!J33</f>
        <v>12.29</v>
      </c>
      <c r="K34" s="24">
        <f>'[1]AUG 29'!K33</f>
        <v>12.25</v>
      </c>
      <c r="L34" s="24">
        <f>'[1]AUG 29'!L33</f>
        <v>12.25</v>
      </c>
      <c r="M34" s="24">
        <f>'[1]AUG 29'!M33</f>
        <v>12.25</v>
      </c>
      <c r="N34" s="24">
        <f>'[1]AUG 29'!N33</f>
        <v>12.21</v>
      </c>
      <c r="O34" s="24">
        <f>'[1]AUG 29'!O33</f>
        <v>12.21</v>
      </c>
      <c r="P34" s="24">
        <f>'[1]AUG 29'!P33</f>
        <v>12.22</v>
      </c>
      <c r="Q34" s="24">
        <f>'[1]AUG 29'!Q33</f>
        <v>12.23</v>
      </c>
      <c r="R34" s="24">
        <f>'[1]AUG 29'!R33</f>
        <v>12.2</v>
      </c>
      <c r="S34" s="24">
        <f>'[1]AUG 29'!S33</f>
        <v>12.2</v>
      </c>
      <c r="T34" s="24">
        <f>'[1]AUG 29'!T33</f>
        <v>12.19</v>
      </c>
      <c r="U34" s="24">
        <f>'[1]AUG 29'!U33</f>
        <v>12.21</v>
      </c>
      <c r="V34" s="24">
        <f>'[1]AUG 29'!V33</f>
        <v>12.2</v>
      </c>
      <c r="W34" s="24">
        <f>'[1]AUG 29'!W33</f>
        <v>12.19</v>
      </c>
      <c r="X34" s="24">
        <f>'[1]AUG 29'!X33</f>
        <v>12.2</v>
      </c>
      <c r="Y34" s="24">
        <f>'[1]AUG 29'!Y33</f>
        <v>12.21</v>
      </c>
      <c r="Z34" s="25">
        <f t="shared" si="0"/>
        <v>12.262083333333331</v>
      </c>
      <c r="AA34" s="26">
        <v>29</v>
      </c>
      <c r="AB34" s="27">
        <f t="shared" si="1"/>
        <v>12.42</v>
      </c>
      <c r="AC34" s="27">
        <f t="shared" si="2"/>
        <v>12.19</v>
      </c>
    </row>
    <row r="35" spans="1:29" ht="14.25" customHeight="1" x14ac:dyDescent="0.3">
      <c r="A35" s="23">
        <v>30</v>
      </c>
      <c r="B35" s="24">
        <f>'[1]AUG 30'!B33</f>
        <v>12.2</v>
      </c>
      <c r="C35" s="24">
        <f>'[1]AUG 30'!C33</f>
        <v>12.19</v>
      </c>
      <c r="D35" s="24">
        <f>'[1]AUG 30'!D33</f>
        <v>12.18</v>
      </c>
      <c r="E35" s="24">
        <f>'[1]AUG 30'!E33</f>
        <v>12.18</v>
      </c>
      <c r="F35" s="24">
        <f>'[1]AUG 30'!F33</f>
        <v>12.18</v>
      </c>
      <c r="G35" s="24">
        <f>'[1]AUG 30'!G33</f>
        <v>12.16</v>
      </c>
      <c r="H35" s="24">
        <f>'[1]AUG 30'!H33</f>
        <v>12.17</v>
      </c>
      <c r="I35" s="24">
        <f>'[1]AUG 30'!I33</f>
        <v>12.16</v>
      </c>
      <c r="J35" s="24">
        <f>'[1]AUG 30'!J33</f>
        <v>12.16</v>
      </c>
      <c r="K35" s="24">
        <f>'[1]AUG 30'!K33</f>
        <v>12.41</v>
      </c>
      <c r="L35" s="24">
        <f>'[1]AUG 30'!L33</f>
        <v>12.96</v>
      </c>
      <c r="M35" s="24">
        <f>'[1]AUG 30'!M33</f>
        <v>13.51</v>
      </c>
      <c r="N35" s="24">
        <f>'[1]AUG 30'!N33</f>
        <v>13.44</v>
      </c>
      <c r="O35" s="24">
        <f>'[1]AUG 30'!O33</f>
        <v>13.13</v>
      </c>
      <c r="P35" s="24">
        <f>'[1]AUG 30'!P33</f>
        <v>12.8</v>
      </c>
      <c r="Q35" s="24">
        <f>'[1]AUG 30'!Q33</f>
        <v>12.54</v>
      </c>
      <c r="R35" s="24">
        <f>'[1]AUG 30'!R33</f>
        <v>12.41</v>
      </c>
      <c r="S35" s="24">
        <f>'[1]AUG 30'!S33</f>
        <v>12.35</v>
      </c>
      <c r="T35" s="24">
        <f>'[1]AUG 30'!T33</f>
        <v>12.31</v>
      </c>
      <c r="U35" s="24">
        <f>'[1]AUG 30'!U33</f>
        <v>12.3</v>
      </c>
      <c r="V35" s="24">
        <f>'[1]AUG 30'!V33</f>
        <v>12.28</v>
      </c>
      <c r="W35" s="24">
        <f>'[1]AUG 30'!W33</f>
        <v>12.26</v>
      </c>
      <c r="X35" s="24">
        <f>'[1]AUG 30'!X33</f>
        <v>12.52</v>
      </c>
      <c r="Y35" s="24">
        <f>'[1]AUG 30'!Y33</f>
        <v>12.75</v>
      </c>
      <c r="Z35" s="25">
        <f t="shared" si="0"/>
        <v>12.481249999999998</v>
      </c>
      <c r="AA35" s="26">
        <v>30</v>
      </c>
      <c r="AB35" s="27">
        <f t="shared" si="1"/>
        <v>13.51</v>
      </c>
      <c r="AC35" s="27">
        <f>MIN(B35:Y35)</f>
        <v>12.16</v>
      </c>
    </row>
    <row r="36" spans="1:29" ht="14.25" customHeight="1" x14ac:dyDescent="0.3">
      <c r="A36" s="23">
        <v>31</v>
      </c>
      <c r="B36" s="24">
        <f>'[1]AUG 31'!B33</f>
        <v>12.94</v>
      </c>
      <c r="C36" s="24">
        <f>'[1]AUG 31'!C33</f>
        <v>12.93</v>
      </c>
      <c r="D36" s="24">
        <f>'[1]AUG 31'!D33</f>
        <v>12.21</v>
      </c>
      <c r="E36" s="24">
        <f>'[1]AUG 31'!E33</f>
        <v>12.21</v>
      </c>
      <c r="F36" s="24">
        <f>'[1]AUG 31'!F33</f>
        <v>12.2</v>
      </c>
      <c r="G36" s="24">
        <f>'[1]AUG 31'!G33</f>
        <v>12.19</v>
      </c>
      <c r="H36" s="24">
        <f>'[1]AUG 31'!H33</f>
        <v>12.19</v>
      </c>
      <c r="I36" s="24">
        <f>'[1]AUG 31'!I33</f>
        <v>12.19</v>
      </c>
      <c r="J36" s="24">
        <f>'[1]AUG 31'!J33</f>
        <v>12.18</v>
      </c>
      <c r="K36" s="24">
        <f>'[1]AUG 31'!K33</f>
        <v>12.16</v>
      </c>
      <c r="L36" s="24">
        <f>'[1]AUG 31'!L33</f>
        <v>12.15</v>
      </c>
      <c r="M36" s="24">
        <f>'[1]AUG 31'!M33</f>
        <v>12.13</v>
      </c>
      <c r="N36" s="24">
        <f>'[1]AUG 31'!N33</f>
        <v>12.13</v>
      </c>
      <c r="O36" s="24">
        <f>'[1]AUG 31'!O33</f>
        <v>12.13</v>
      </c>
      <c r="P36" s="24">
        <f>'[1]AUG 31'!P33</f>
        <v>12.13</v>
      </c>
      <c r="Q36" s="24">
        <f>'[1]AUG 31'!Q33</f>
        <v>12.12</v>
      </c>
      <c r="R36" s="24">
        <f>'[1]AUG 31'!R33</f>
        <v>12.1</v>
      </c>
      <c r="S36" s="24">
        <f>'[1]AUG 31'!S33</f>
        <v>12.1</v>
      </c>
      <c r="T36" s="24">
        <f>'[1]AUG 31'!T33</f>
        <v>12.09</v>
      </c>
      <c r="U36" s="24">
        <f>'[1]AUG 31'!U33</f>
        <v>12.09</v>
      </c>
      <c r="V36" s="24">
        <f>'[1]AUG 31'!V33</f>
        <v>12.08</v>
      </c>
      <c r="W36" s="24">
        <f>'[1]AUG 31'!W33</f>
        <v>12.07</v>
      </c>
      <c r="X36" s="24">
        <f>'[1]AUG 31'!X33</f>
        <v>12.08</v>
      </c>
      <c r="Y36" s="24">
        <f>'[1]AUG 31'!Y33</f>
        <v>12.08</v>
      </c>
      <c r="Z36" s="25">
        <f t="shared" si="0"/>
        <v>12.203333333333331</v>
      </c>
      <c r="AA36" s="26">
        <v>31</v>
      </c>
      <c r="AB36" s="27">
        <f t="shared" si="1"/>
        <v>12.94</v>
      </c>
      <c r="AC36" s="27">
        <f t="shared" si="2"/>
        <v>12.07</v>
      </c>
    </row>
    <row r="37" spans="1:29" ht="14.25" customHeight="1" x14ac:dyDescent="0.25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12.14709443665264</v>
      </c>
      <c r="AA37" s="17"/>
      <c r="AB37" s="17"/>
      <c r="AC37" s="17"/>
    </row>
    <row r="38" spans="1:29" ht="14.25" customHeight="1" x14ac:dyDescent="0.25">
      <c r="A38" s="23" t="s">
        <v>13</v>
      </c>
      <c r="B38" s="31"/>
      <c r="C38" s="31"/>
      <c r="D38" s="31"/>
      <c r="E38" s="32">
        <f>AVERAGE(E6:E36)</f>
        <v>12.132258064516126</v>
      </c>
      <c r="F38" s="31"/>
      <c r="G38" s="31"/>
      <c r="H38" s="31"/>
      <c r="I38" s="33"/>
      <c r="J38" s="33">
        <f>AVERAGE(J6:J36)</f>
        <v>12.13451612903226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12.175161290322583</v>
      </c>
      <c r="Z38" s="25">
        <f>AVERAGE(E38,J38,Y38)</f>
        <v>12.14731182795699</v>
      </c>
      <c r="AA38" s="34" t="s">
        <v>14</v>
      </c>
      <c r="AB38" s="35">
        <f>AVERAGE(AB6:AB36)</f>
        <v>12.479032258064516</v>
      </c>
      <c r="AC38" s="35">
        <f>AVERAGE(AC6:AC36)</f>
        <v>12.015161290322579</v>
      </c>
    </row>
    <row r="39" spans="1:29" x14ac:dyDescent="0.25">
      <c r="B39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2025-03-10T06:40:31Z</dcterms:created>
  <dcterms:modified xsi:type="dcterms:W3CDTF">2025-03-10T06:40:36Z</dcterms:modified>
</cp:coreProperties>
</file>