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G:\My Drive\EFCOS FILES\1. Rainfall and Waterlevel Data Sheet\2024\Water level\Sto. Niño 2024\"/>
    </mc:Choice>
  </mc:AlternateContent>
  <xr:revisionPtr revIDLastSave="0" documentId="8_{91EF50F6-E1DA-4F56-985C-DE45B80193F6}" xr6:coauthVersionLast="47" xr6:coauthVersionMax="47" xr10:uidLastSave="{00000000-0000-0000-0000-000000000000}"/>
  <bookViews>
    <workbookView xWindow="-108" yWindow="-108" windowWidth="23256" windowHeight="12456" xr2:uid="{0432F8B0-00B0-437F-813E-6F327B4DB5EC}"/>
  </bookViews>
  <sheets>
    <sheet name="STO.NINO" sheetId="1" r:id="rId1"/>
  </sheets>
  <externalReferences>
    <externalReference r:id="rId2"/>
  </externalReferences>
  <definedNames>
    <definedName name="_xlnm.Print_Area" localSheetId="0">STO.NINO!$A$1:$AQ$39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Y36" i="1" l="1"/>
  <c r="X36" i="1"/>
  <c r="W36" i="1"/>
  <c r="V36" i="1"/>
  <c r="U36" i="1"/>
  <c r="T36" i="1"/>
  <c r="S36" i="1"/>
  <c r="R36" i="1"/>
  <c r="Q36" i="1"/>
  <c r="P36" i="1"/>
  <c r="O36" i="1"/>
  <c r="N36" i="1"/>
  <c r="M36" i="1"/>
  <c r="L36" i="1"/>
  <c r="K36" i="1"/>
  <c r="J36" i="1"/>
  <c r="I36" i="1"/>
  <c r="H36" i="1"/>
  <c r="G36" i="1"/>
  <c r="F36" i="1"/>
  <c r="E36" i="1"/>
  <c r="D36" i="1"/>
  <c r="AC36" i="1" s="1"/>
  <c r="C36" i="1"/>
  <c r="B36" i="1"/>
  <c r="AB36" i="1" s="1"/>
  <c r="Y35" i="1"/>
  <c r="X35" i="1"/>
  <c r="W35" i="1"/>
  <c r="V35" i="1"/>
  <c r="U35" i="1"/>
  <c r="T35" i="1"/>
  <c r="S35" i="1"/>
  <c r="R35" i="1"/>
  <c r="Q35" i="1"/>
  <c r="P35" i="1"/>
  <c r="O35" i="1"/>
  <c r="N35" i="1"/>
  <c r="M35" i="1"/>
  <c r="L35" i="1"/>
  <c r="K35" i="1"/>
  <c r="J35" i="1"/>
  <c r="I35" i="1"/>
  <c r="H35" i="1"/>
  <c r="G35" i="1"/>
  <c r="F35" i="1"/>
  <c r="E35" i="1"/>
  <c r="D35" i="1"/>
  <c r="C35" i="1"/>
  <c r="AC35" i="1" s="1"/>
  <c r="B35" i="1"/>
  <c r="Z35" i="1" s="1"/>
  <c r="Y34" i="1"/>
  <c r="X34" i="1"/>
  <c r="W34" i="1"/>
  <c r="V34" i="1"/>
  <c r="U34" i="1"/>
  <c r="T34" i="1"/>
  <c r="S34" i="1"/>
  <c r="R34" i="1"/>
  <c r="Q34" i="1"/>
  <c r="P34" i="1"/>
  <c r="O34" i="1"/>
  <c r="N34" i="1"/>
  <c r="M34" i="1"/>
  <c r="L34" i="1"/>
  <c r="K34" i="1"/>
  <c r="J34" i="1"/>
  <c r="I34" i="1"/>
  <c r="H34" i="1"/>
  <c r="G34" i="1"/>
  <c r="F34" i="1"/>
  <c r="E34" i="1"/>
  <c r="D34" i="1"/>
  <c r="C34" i="1"/>
  <c r="B34" i="1"/>
  <c r="Z34" i="1" s="1"/>
  <c r="Y33" i="1"/>
  <c r="X33" i="1"/>
  <c r="W33" i="1"/>
  <c r="V33" i="1"/>
  <c r="U33" i="1"/>
  <c r="T33" i="1"/>
  <c r="S33" i="1"/>
  <c r="R33" i="1"/>
  <c r="Q33" i="1"/>
  <c r="P33" i="1"/>
  <c r="O33" i="1"/>
  <c r="N33" i="1"/>
  <c r="M33" i="1"/>
  <c r="L33" i="1"/>
  <c r="K33" i="1"/>
  <c r="J33" i="1"/>
  <c r="I33" i="1"/>
  <c r="H33" i="1"/>
  <c r="G33" i="1"/>
  <c r="F33" i="1"/>
  <c r="E33" i="1"/>
  <c r="D33" i="1"/>
  <c r="C33" i="1"/>
  <c r="AB33" i="1" s="1"/>
  <c r="B33" i="1"/>
  <c r="AC33" i="1" s="1"/>
  <c r="Y32" i="1"/>
  <c r="X32" i="1"/>
  <c r="W32" i="1"/>
  <c r="V32" i="1"/>
  <c r="U32" i="1"/>
  <c r="T32" i="1"/>
  <c r="S32" i="1"/>
  <c r="R32" i="1"/>
  <c r="Q32" i="1"/>
  <c r="P32" i="1"/>
  <c r="O32" i="1"/>
  <c r="N32" i="1"/>
  <c r="M32" i="1"/>
  <c r="L32" i="1"/>
  <c r="K32" i="1"/>
  <c r="J32" i="1"/>
  <c r="I32" i="1"/>
  <c r="H32" i="1"/>
  <c r="G32" i="1"/>
  <c r="F32" i="1"/>
  <c r="E32" i="1"/>
  <c r="D32" i="1"/>
  <c r="AC32" i="1" s="1"/>
  <c r="C32" i="1"/>
  <c r="B32" i="1"/>
  <c r="AB32" i="1" s="1"/>
  <c r="Y31" i="1"/>
  <c r="X31" i="1"/>
  <c r="W31" i="1"/>
  <c r="V31" i="1"/>
  <c r="U31" i="1"/>
  <c r="T31" i="1"/>
  <c r="S31" i="1"/>
  <c r="R31" i="1"/>
  <c r="Q31" i="1"/>
  <c r="P31" i="1"/>
  <c r="O31" i="1"/>
  <c r="N31" i="1"/>
  <c r="M31" i="1"/>
  <c r="L31" i="1"/>
  <c r="K31" i="1"/>
  <c r="J31" i="1"/>
  <c r="I31" i="1"/>
  <c r="H31" i="1"/>
  <c r="G31" i="1"/>
  <c r="F31" i="1"/>
  <c r="E31" i="1"/>
  <c r="D31" i="1"/>
  <c r="C31" i="1"/>
  <c r="AB31" i="1" s="1"/>
  <c r="B31" i="1"/>
  <c r="Z31" i="1" s="1"/>
  <c r="Y30" i="1"/>
  <c r="X30" i="1"/>
  <c r="W30" i="1"/>
  <c r="V30" i="1"/>
  <c r="U30" i="1"/>
  <c r="T30" i="1"/>
  <c r="S30" i="1"/>
  <c r="R30" i="1"/>
  <c r="Q30" i="1"/>
  <c r="P30" i="1"/>
  <c r="O30" i="1"/>
  <c r="N30" i="1"/>
  <c r="M30" i="1"/>
  <c r="L30" i="1"/>
  <c r="K30" i="1"/>
  <c r="J30" i="1"/>
  <c r="I30" i="1"/>
  <c r="H30" i="1"/>
  <c r="G30" i="1"/>
  <c r="F30" i="1"/>
  <c r="E30" i="1"/>
  <c r="D30" i="1"/>
  <c r="C30" i="1"/>
  <c r="B30" i="1"/>
  <c r="AC30" i="1" s="1"/>
  <c r="Y29" i="1"/>
  <c r="X29" i="1"/>
  <c r="W29" i="1"/>
  <c r="V29" i="1"/>
  <c r="U29" i="1"/>
  <c r="T29" i="1"/>
  <c r="S29" i="1"/>
  <c r="R29" i="1"/>
  <c r="Q29" i="1"/>
  <c r="P29" i="1"/>
  <c r="O29" i="1"/>
  <c r="N29" i="1"/>
  <c r="M29" i="1"/>
  <c r="L29" i="1"/>
  <c r="K29" i="1"/>
  <c r="J29" i="1"/>
  <c r="I29" i="1"/>
  <c r="H29" i="1"/>
  <c r="G29" i="1"/>
  <c r="F29" i="1"/>
  <c r="E29" i="1"/>
  <c r="D29" i="1"/>
  <c r="C29" i="1"/>
  <c r="B29" i="1"/>
  <c r="AC29" i="1" s="1"/>
  <c r="Y28" i="1"/>
  <c r="X28" i="1"/>
  <c r="W28" i="1"/>
  <c r="V28" i="1"/>
  <c r="U28" i="1"/>
  <c r="T28" i="1"/>
  <c r="S28" i="1"/>
  <c r="R28" i="1"/>
  <c r="Q28" i="1"/>
  <c r="P28" i="1"/>
  <c r="O28" i="1"/>
  <c r="N28" i="1"/>
  <c r="M28" i="1"/>
  <c r="L28" i="1"/>
  <c r="K28" i="1"/>
  <c r="J28" i="1"/>
  <c r="I28" i="1"/>
  <c r="H28" i="1"/>
  <c r="G28" i="1"/>
  <c r="F28" i="1"/>
  <c r="E28" i="1"/>
  <c r="D28" i="1"/>
  <c r="AC28" i="1" s="1"/>
  <c r="C28" i="1"/>
  <c r="B28" i="1"/>
  <c r="AB28" i="1" s="1"/>
  <c r="Y27" i="1"/>
  <c r="X27" i="1"/>
  <c r="W27" i="1"/>
  <c r="V27" i="1"/>
  <c r="U27" i="1"/>
  <c r="T27" i="1"/>
  <c r="S27" i="1"/>
  <c r="R27" i="1"/>
  <c r="Q27" i="1"/>
  <c r="P27" i="1"/>
  <c r="O27" i="1"/>
  <c r="N27" i="1"/>
  <c r="M27" i="1"/>
  <c r="L27" i="1"/>
  <c r="K27" i="1"/>
  <c r="J27" i="1"/>
  <c r="I27" i="1"/>
  <c r="H27" i="1"/>
  <c r="G27" i="1"/>
  <c r="F27" i="1"/>
  <c r="E27" i="1"/>
  <c r="D27" i="1"/>
  <c r="C27" i="1"/>
  <c r="AC27" i="1" s="1"/>
  <c r="B27" i="1"/>
  <c r="Z27" i="1" s="1"/>
  <c r="Y26" i="1"/>
  <c r="X26" i="1"/>
  <c r="W26" i="1"/>
  <c r="V26" i="1"/>
  <c r="U26" i="1"/>
  <c r="T26" i="1"/>
  <c r="S26" i="1"/>
  <c r="R26" i="1"/>
  <c r="Q26" i="1"/>
  <c r="P26" i="1"/>
  <c r="O26" i="1"/>
  <c r="N26" i="1"/>
  <c r="M26" i="1"/>
  <c r="L26" i="1"/>
  <c r="K26" i="1"/>
  <c r="J26" i="1"/>
  <c r="I26" i="1"/>
  <c r="H26" i="1"/>
  <c r="G26" i="1"/>
  <c r="F26" i="1"/>
  <c r="E26" i="1"/>
  <c r="D26" i="1"/>
  <c r="C26" i="1"/>
  <c r="B26" i="1"/>
  <c r="Z26" i="1" s="1"/>
  <c r="Y25" i="1"/>
  <c r="X25" i="1"/>
  <c r="W25" i="1"/>
  <c r="V25" i="1"/>
  <c r="U25" i="1"/>
  <c r="T25" i="1"/>
  <c r="S25" i="1"/>
  <c r="R25" i="1"/>
  <c r="Q25" i="1"/>
  <c r="P25" i="1"/>
  <c r="O25" i="1"/>
  <c r="N25" i="1"/>
  <c r="M25" i="1"/>
  <c r="L25" i="1"/>
  <c r="K25" i="1"/>
  <c r="J25" i="1"/>
  <c r="I25" i="1"/>
  <c r="H25" i="1"/>
  <c r="G25" i="1"/>
  <c r="F25" i="1"/>
  <c r="E25" i="1"/>
  <c r="D25" i="1"/>
  <c r="C25" i="1"/>
  <c r="AB25" i="1" s="1"/>
  <c r="B25" i="1"/>
  <c r="AC25" i="1" s="1"/>
  <c r="Y24" i="1"/>
  <c r="X24" i="1"/>
  <c r="W24" i="1"/>
  <c r="V24" i="1"/>
  <c r="U24" i="1"/>
  <c r="T24" i="1"/>
  <c r="S24" i="1"/>
  <c r="R24" i="1"/>
  <c r="Q24" i="1"/>
  <c r="P24" i="1"/>
  <c r="O24" i="1"/>
  <c r="N24" i="1"/>
  <c r="M24" i="1"/>
  <c r="L24" i="1"/>
  <c r="K24" i="1"/>
  <c r="J24" i="1"/>
  <c r="I24" i="1"/>
  <c r="H24" i="1"/>
  <c r="G24" i="1"/>
  <c r="F24" i="1"/>
  <c r="E24" i="1"/>
  <c r="D24" i="1"/>
  <c r="AC24" i="1" s="1"/>
  <c r="C24" i="1"/>
  <c r="B24" i="1"/>
  <c r="AB24" i="1" s="1"/>
  <c r="AB23" i="1"/>
  <c r="Y23" i="1"/>
  <c r="X23" i="1"/>
  <c r="W23" i="1"/>
  <c r="V23" i="1"/>
  <c r="U23" i="1"/>
  <c r="T23" i="1"/>
  <c r="S23" i="1"/>
  <c r="R23" i="1"/>
  <c r="Q23" i="1"/>
  <c r="P23" i="1"/>
  <c r="O23" i="1"/>
  <c r="N23" i="1"/>
  <c r="M23" i="1"/>
  <c r="L23" i="1"/>
  <c r="K23" i="1"/>
  <c r="J23" i="1"/>
  <c r="I23" i="1"/>
  <c r="H23" i="1"/>
  <c r="G23" i="1"/>
  <c r="F23" i="1"/>
  <c r="E23" i="1"/>
  <c r="D23" i="1"/>
  <c r="C23" i="1"/>
  <c r="AC23" i="1" s="1"/>
  <c r="B23" i="1"/>
  <c r="Z23" i="1" s="1"/>
  <c r="Y22" i="1"/>
  <c r="X22" i="1"/>
  <c r="W22" i="1"/>
  <c r="V22" i="1"/>
  <c r="U22" i="1"/>
  <c r="T22" i="1"/>
  <c r="S22" i="1"/>
  <c r="R22" i="1"/>
  <c r="Q22" i="1"/>
  <c r="P22" i="1"/>
  <c r="O22" i="1"/>
  <c r="N22" i="1"/>
  <c r="M22" i="1"/>
  <c r="L22" i="1"/>
  <c r="K22" i="1"/>
  <c r="J22" i="1"/>
  <c r="I22" i="1"/>
  <c r="H22" i="1"/>
  <c r="G22" i="1"/>
  <c r="F22" i="1"/>
  <c r="E22" i="1"/>
  <c r="D22" i="1"/>
  <c r="C22" i="1"/>
  <c r="B22" i="1"/>
  <c r="AC22" i="1" s="1"/>
  <c r="Y21" i="1"/>
  <c r="X21" i="1"/>
  <c r="W21" i="1"/>
  <c r="V21" i="1"/>
  <c r="U21" i="1"/>
  <c r="T21" i="1"/>
  <c r="S21" i="1"/>
  <c r="R21" i="1"/>
  <c r="Q21" i="1"/>
  <c r="P21" i="1"/>
  <c r="O21" i="1"/>
  <c r="N21" i="1"/>
  <c r="M21" i="1"/>
  <c r="L21" i="1"/>
  <c r="K21" i="1"/>
  <c r="J21" i="1"/>
  <c r="I21" i="1"/>
  <c r="H21" i="1"/>
  <c r="G21" i="1"/>
  <c r="F21" i="1"/>
  <c r="E21" i="1"/>
  <c r="D21" i="1"/>
  <c r="C21" i="1"/>
  <c r="B21" i="1"/>
  <c r="AC21" i="1" s="1"/>
  <c r="Y20" i="1"/>
  <c r="X20" i="1"/>
  <c r="W20" i="1"/>
  <c r="V20" i="1"/>
  <c r="U20" i="1"/>
  <c r="T20" i="1"/>
  <c r="S20" i="1"/>
  <c r="R20" i="1"/>
  <c r="Q20" i="1"/>
  <c r="P20" i="1"/>
  <c r="O20" i="1"/>
  <c r="N20" i="1"/>
  <c r="M20" i="1"/>
  <c r="L20" i="1"/>
  <c r="K20" i="1"/>
  <c r="J20" i="1"/>
  <c r="I20" i="1"/>
  <c r="H20" i="1"/>
  <c r="G20" i="1"/>
  <c r="F20" i="1"/>
  <c r="E20" i="1"/>
  <c r="D20" i="1"/>
  <c r="AC20" i="1" s="1"/>
  <c r="C20" i="1"/>
  <c r="B20" i="1"/>
  <c r="AB20" i="1" s="1"/>
  <c r="Y19" i="1"/>
  <c r="X19" i="1"/>
  <c r="W19" i="1"/>
  <c r="V19" i="1"/>
  <c r="U19" i="1"/>
  <c r="T19" i="1"/>
  <c r="S19" i="1"/>
  <c r="R19" i="1"/>
  <c r="Q19" i="1"/>
  <c r="P19" i="1"/>
  <c r="O19" i="1"/>
  <c r="N19" i="1"/>
  <c r="M19" i="1"/>
  <c r="L19" i="1"/>
  <c r="K19" i="1"/>
  <c r="J19" i="1"/>
  <c r="I19" i="1"/>
  <c r="H19" i="1"/>
  <c r="G19" i="1"/>
  <c r="F19" i="1"/>
  <c r="E19" i="1"/>
  <c r="D19" i="1"/>
  <c r="C19" i="1"/>
  <c r="AB19" i="1" s="1"/>
  <c r="B19" i="1"/>
  <c r="AC19" i="1" s="1"/>
  <c r="Y18" i="1"/>
  <c r="X18" i="1"/>
  <c r="W18" i="1"/>
  <c r="V18" i="1"/>
  <c r="U18" i="1"/>
  <c r="T18" i="1"/>
  <c r="S18" i="1"/>
  <c r="R18" i="1"/>
  <c r="Q18" i="1"/>
  <c r="P18" i="1"/>
  <c r="O18" i="1"/>
  <c r="N18" i="1"/>
  <c r="M18" i="1"/>
  <c r="L18" i="1"/>
  <c r="K18" i="1"/>
  <c r="J18" i="1"/>
  <c r="I18" i="1"/>
  <c r="H18" i="1"/>
  <c r="G18" i="1"/>
  <c r="F18" i="1"/>
  <c r="E18" i="1"/>
  <c r="D18" i="1"/>
  <c r="C18" i="1"/>
  <c r="B18" i="1"/>
  <c r="AB18" i="1" s="1"/>
  <c r="Y17" i="1"/>
  <c r="X17" i="1"/>
  <c r="W17" i="1"/>
  <c r="V17" i="1"/>
  <c r="U17" i="1"/>
  <c r="T17" i="1"/>
  <c r="S17" i="1"/>
  <c r="R17" i="1"/>
  <c r="Q17" i="1"/>
  <c r="P17" i="1"/>
  <c r="O17" i="1"/>
  <c r="N17" i="1"/>
  <c r="M17" i="1"/>
  <c r="L17" i="1"/>
  <c r="K17" i="1"/>
  <c r="J17" i="1"/>
  <c r="I17" i="1"/>
  <c r="H17" i="1"/>
  <c r="G17" i="1"/>
  <c r="F17" i="1"/>
  <c r="E17" i="1"/>
  <c r="D17" i="1"/>
  <c r="C17" i="1"/>
  <c r="AB17" i="1" s="1"/>
  <c r="B17" i="1"/>
  <c r="AC17" i="1" s="1"/>
  <c r="Y16" i="1"/>
  <c r="X16" i="1"/>
  <c r="W16" i="1"/>
  <c r="V16" i="1"/>
  <c r="U16" i="1"/>
  <c r="T16" i="1"/>
  <c r="S16" i="1"/>
  <c r="R16" i="1"/>
  <c r="Q16" i="1"/>
  <c r="P16" i="1"/>
  <c r="O16" i="1"/>
  <c r="N16" i="1"/>
  <c r="M16" i="1"/>
  <c r="L16" i="1"/>
  <c r="K16" i="1"/>
  <c r="J16" i="1"/>
  <c r="I16" i="1"/>
  <c r="H16" i="1"/>
  <c r="G16" i="1"/>
  <c r="F16" i="1"/>
  <c r="E16" i="1"/>
  <c r="D16" i="1"/>
  <c r="AC16" i="1" s="1"/>
  <c r="C16" i="1"/>
  <c r="B16" i="1"/>
  <c r="AB16" i="1" s="1"/>
  <c r="Y15" i="1"/>
  <c r="X15" i="1"/>
  <c r="W15" i="1"/>
  <c r="V15" i="1"/>
  <c r="U15" i="1"/>
  <c r="T15" i="1"/>
  <c r="S15" i="1"/>
  <c r="R15" i="1"/>
  <c r="Q15" i="1"/>
  <c r="P15" i="1"/>
  <c r="O15" i="1"/>
  <c r="N15" i="1"/>
  <c r="M15" i="1"/>
  <c r="L15" i="1"/>
  <c r="K15" i="1"/>
  <c r="J15" i="1"/>
  <c r="I15" i="1"/>
  <c r="H15" i="1"/>
  <c r="G15" i="1"/>
  <c r="F15" i="1"/>
  <c r="E15" i="1"/>
  <c r="D15" i="1"/>
  <c r="C15" i="1"/>
  <c r="AC15" i="1" s="1"/>
  <c r="B15" i="1"/>
  <c r="Z15" i="1" s="1"/>
  <c r="Y14" i="1"/>
  <c r="X14" i="1"/>
  <c r="W14" i="1"/>
  <c r="V14" i="1"/>
  <c r="U14" i="1"/>
  <c r="T14" i="1"/>
  <c r="S14" i="1"/>
  <c r="R14" i="1"/>
  <c r="Q14" i="1"/>
  <c r="P14" i="1"/>
  <c r="O14" i="1"/>
  <c r="N14" i="1"/>
  <c r="M14" i="1"/>
  <c r="L14" i="1"/>
  <c r="K14" i="1"/>
  <c r="J14" i="1"/>
  <c r="I14" i="1"/>
  <c r="H14" i="1"/>
  <c r="G14" i="1"/>
  <c r="F14" i="1"/>
  <c r="E14" i="1"/>
  <c r="D14" i="1"/>
  <c r="C14" i="1"/>
  <c r="B14" i="1"/>
  <c r="AC14" i="1" s="1"/>
  <c r="Y13" i="1"/>
  <c r="X13" i="1"/>
  <c r="W13" i="1"/>
  <c r="V13" i="1"/>
  <c r="U13" i="1"/>
  <c r="T13" i="1"/>
  <c r="S13" i="1"/>
  <c r="R13" i="1"/>
  <c r="Q13" i="1"/>
  <c r="P13" i="1"/>
  <c r="O13" i="1"/>
  <c r="N13" i="1"/>
  <c r="M13" i="1"/>
  <c r="L13" i="1"/>
  <c r="K13" i="1"/>
  <c r="J13" i="1"/>
  <c r="I13" i="1"/>
  <c r="H13" i="1"/>
  <c r="G13" i="1"/>
  <c r="F13" i="1"/>
  <c r="E13" i="1"/>
  <c r="D13" i="1"/>
  <c r="C13" i="1"/>
  <c r="B13" i="1"/>
  <c r="Z13" i="1" s="1"/>
  <c r="Y12" i="1"/>
  <c r="X12" i="1"/>
  <c r="W12" i="1"/>
  <c r="V12" i="1"/>
  <c r="U12" i="1"/>
  <c r="T12" i="1"/>
  <c r="S12" i="1"/>
  <c r="R12" i="1"/>
  <c r="Q12" i="1"/>
  <c r="P12" i="1"/>
  <c r="O12" i="1"/>
  <c r="N12" i="1"/>
  <c r="M12" i="1"/>
  <c r="L12" i="1"/>
  <c r="K12" i="1"/>
  <c r="J12" i="1"/>
  <c r="I12" i="1"/>
  <c r="H12" i="1"/>
  <c r="G12" i="1"/>
  <c r="F12" i="1"/>
  <c r="E12" i="1"/>
  <c r="D12" i="1"/>
  <c r="AC12" i="1" s="1"/>
  <c r="C12" i="1"/>
  <c r="B12" i="1"/>
  <c r="AB12" i="1" s="1"/>
  <c r="Y11" i="1"/>
  <c r="X11" i="1"/>
  <c r="W11" i="1"/>
  <c r="V11" i="1"/>
  <c r="U11" i="1"/>
  <c r="T11" i="1"/>
  <c r="S11" i="1"/>
  <c r="R11" i="1"/>
  <c r="Q11" i="1"/>
  <c r="P11" i="1"/>
  <c r="O11" i="1"/>
  <c r="N11" i="1"/>
  <c r="M11" i="1"/>
  <c r="L11" i="1"/>
  <c r="K11" i="1"/>
  <c r="J11" i="1"/>
  <c r="I11" i="1"/>
  <c r="H11" i="1"/>
  <c r="G11" i="1"/>
  <c r="F11" i="1"/>
  <c r="E11" i="1"/>
  <c r="D11" i="1"/>
  <c r="C11" i="1"/>
  <c r="AB11" i="1" s="1"/>
  <c r="B11" i="1"/>
  <c r="AC11" i="1" s="1"/>
  <c r="Y10" i="1"/>
  <c r="X10" i="1"/>
  <c r="W10" i="1"/>
  <c r="V10" i="1"/>
  <c r="U10" i="1"/>
  <c r="T10" i="1"/>
  <c r="S10" i="1"/>
  <c r="R10" i="1"/>
  <c r="Q10" i="1"/>
  <c r="P10" i="1"/>
  <c r="O10" i="1"/>
  <c r="N10" i="1"/>
  <c r="M10" i="1"/>
  <c r="L10" i="1"/>
  <c r="K10" i="1"/>
  <c r="J10" i="1"/>
  <c r="I10" i="1"/>
  <c r="H10" i="1"/>
  <c r="G10" i="1"/>
  <c r="F10" i="1"/>
  <c r="E10" i="1"/>
  <c r="D10" i="1"/>
  <c r="C10" i="1"/>
  <c r="B10" i="1"/>
  <c r="Z10" i="1" s="1"/>
  <c r="Y9" i="1"/>
  <c r="X9" i="1"/>
  <c r="W9" i="1"/>
  <c r="V9" i="1"/>
  <c r="U9" i="1"/>
  <c r="T9" i="1"/>
  <c r="S9" i="1"/>
  <c r="R9" i="1"/>
  <c r="Q9" i="1"/>
  <c r="P9" i="1"/>
  <c r="O9" i="1"/>
  <c r="N9" i="1"/>
  <c r="M9" i="1"/>
  <c r="L9" i="1"/>
  <c r="K9" i="1"/>
  <c r="J9" i="1"/>
  <c r="I9" i="1"/>
  <c r="H9" i="1"/>
  <c r="G9" i="1"/>
  <c r="F9" i="1"/>
  <c r="E9" i="1"/>
  <c r="D9" i="1"/>
  <c r="C9" i="1"/>
  <c r="AB9" i="1" s="1"/>
  <c r="B9" i="1"/>
  <c r="AC9" i="1" s="1"/>
  <c r="Y8" i="1"/>
  <c r="X8" i="1"/>
  <c r="W8" i="1"/>
  <c r="V8" i="1"/>
  <c r="U8" i="1"/>
  <c r="T8" i="1"/>
  <c r="S8" i="1"/>
  <c r="R8" i="1"/>
  <c r="Q8" i="1"/>
  <c r="P8" i="1"/>
  <c r="O8" i="1"/>
  <c r="N8" i="1"/>
  <c r="M8" i="1"/>
  <c r="L8" i="1"/>
  <c r="K8" i="1"/>
  <c r="J8" i="1"/>
  <c r="I8" i="1"/>
  <c r="H8" i="1"/>
  <c r="G8" i="1"/>
  <c r="F8" i="1"/>
  <c r="E8" i="1"/>
  <c r="D8" i="1"/>
  <c r="AC8" i="1" s="1"/>
  <c r="C8" i="1"/>
  <c r="B8" i="1"/>
  <c r="AB8" i="1" s="1"/>
  <c r="Y7" i="1"/>
  <c r="X7" i="1"/>
  <c r="W7" i="1"/>
  <c r="V7" i="1"/>
  <c r="U7" i="1"/>
  <c r="T7" i="1"/>
  <c r="S7" i="1"/>
  <c r="R7" i="1"/>
  <c r="Q7" i="1"/>
  <c r="P7" i="1"/>
  <c r="O7" i="1"/>
  <c r="N7" i="1"/>
  <c r="M7" i="1"/>
  <c r="L7" i="1"/>
  <c r="K7" i="1"/>
  <c r="J7" i="1"/>
  <c r="I7" i="1"/>
  <c r="H7" i="1"/>
  <c r="G7" i="1"/>
  <c r="F7" i="1"/>
  <c r="E7" i="1"/>
  <c r="D7" i="1"/>
  <c r="C7" i="1"/>
  <c r="AB7" i="1" s="1"/>
  <c r="B7" i="1"/>
  <c r="Z7" i="1" s="1"/>
  <c r="Y6" i="1"/>
  <c r="Y38" i="1" s="1"/>
  <c r="X6" i="1"/>
  <c r="W6" i="1"/>
  <c r="V6" i="1"/>
  <c r="U6" i="1"/>
  <c r="T6" i="1"/>
  <c r="S6" i="1"/>
  <c r="R6" i="1"/>
  <c r="Q6" i="1"/>
  <c r="P6" i="1"/>
  <c r="O6" i="1"/>
  <c r="N6" i="1"/>
  <c r="M6" i="1"/>
  <c r="L6" i="1"/>
  <c r="K6" i="1"/>
  <c r="J6" i="1"/>
  <c r="J38" i="1" s="1"/>
  <c r="I6" i="1"/>
  <c r="H6" i="1"/>
  <c r="G6" i="1"/>
  <c r="F6" i="1"/>
  <c r="E6" i="1"/>
  <c r="E38" i="1" s="1"/>
  <c r="D6" i="1"/>
  <c r="C6" i="1"/>
  <c r="B6" i="1"/>
  <c r="AC6" i="1" s="1"/>
  <c r="Z38" i="1" l="1"/>
  <c r="AB34" i="1"/>
  <c r="Z8" i="1"/>
  <c r="AC10" i="1"/>
  <c r="AB13" i="1"/>
  <c r="Z16" i="1"/>
  <c r="AC18" i="1"/>
  <c r="AB21" i="1"/>
  <c r="Z24" i="1"/>
  <c r="AC26" i="1"/>
  <c r="AB29" i="1"/>
  <c r="Z32" i="1"/>
  <c r="AC34" i="1"/>
  <c r="AB15" i="1"/>
  <c r="Z21" i="1"/>
  <c r="AB26" i="1"/>
  <c r="Z29" i="1"/>
  <c r="AC31" i="1"/>
  <c r="Z11" i="1"/>
  <c r="AC13" i="1"/>
  <c r="Z19" i="1"/>
  <c r="AC7" i="1"/>
  <c r="AC38" i="1" s="1"/>
  <c r="Z6" i="1"/>
  <c r="Z22" i="1"/>
  <c r="AB27" i="1"/>
  <c r="Z30" i="1"/>
  <c r="AB35" i="1"/>
  <c r="Z14" i="1"/>
  <c r="AB6" i="1"/>
  <c r="Z9" i="1"/>
  <c r="AB14" i="1"/>
  <c r="Z17" i="1"/>
  <c r="AB22" i="1"/>
  <c r="Z25" i="1"/>
  <c r="AB30" i="1"/>
  <c r="Z33" i="1"/>
  <c r="Z18" i="1"/>
  <c r="AB10" i="1"/>
  <c r="Z12" i="1"/>
  <c r="Z20" i="1"/>
  <c r="Z28" i="1"/>
  <c r="Z36" i="1"/>
  <c r="AB38" i="1" l="1"/>
  <c r="Z37" i="1"/>
</calcChain>
</file>

<file path=xl/sharedStrings.xml><?xml version="1.0" encoding="utf-8"?>
<sst xmlns="http://schemas.openxmlformats.org/spreadsheetml/2006/main" count="18" uniqueCount="16">
  <si>
    <t>FORM 2-1  HOURLY  WATERLEVEL CHART</t>
  </si>
  <si>
    <t>RECORDED DAILY HIGHEST AND LOWEST WATER ELEVATION</t>
  </si>
  <si>
    <t>July</t>
  </si>
  <si>
    <t>STO. NIÑO WATER LEVEL GAUGING STATION</t>
  </si>
  <si>
    <t xml:space="preserve">          LOCATION :</t>
  </si>
  <si>
    <t>STO. NIÑO</t>
  </si>
  <si>
    <t xml:space="preserve">   MONTH :</t>
  </si>
  <si>
    <t xml:space="preserve">       YEAR :</t>
  </si>
  <si>
    <t>July 1-31, 2024</t>
  </si>
  <si>
    <t>AVE.</t>
  </si>
  <si>
    <t>DATE</t>
  </si>
  <si>
    <t>HIGHEST</t>
  </si>
  <si>
    <t>LOWEST</t>
  </si>
  <si>
    <t>*PTA</t>
  </si>
  <si>
    <t>AVE</t>
  </si>
  <si>
    <t>* Period Time  Average (PTA) is the average water level of the  data at 8:00,12:00 and 17:00.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</si>
</sst>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.00_);_(* \(#,##0.00\);_(* &quot;-&quot;??_);_(@_)"/>
  </numFmts>
  <fonts count="9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4"/>
      <name val="Arial"/>
      <family val="2"/>
    </font>
    <font>
      <b/>
      <sz val="18"/>
      <name val="Arial"/>
      <family val="2"/>
    </font>
    <font>
      <b/>
      <sz val="10"/>
      <name val="Arial"/>
      <family val="2"/>
    </font>
    <font>
      <i/>
      <sz val="10"/>
      <name val="Arial"/>
      <family val="2"/>
    </font>
    <font>
      <b/>
      <sz val="9"/>
      <name val="Arial"/>
      <family val="2"/>
    </font>
    <font>
      <sz val="8"/>
      <name val="Arial"/>
      <family val="2"/>
    </font>
    <font>
      <b/>
      <sz val="8"/>
      <name val="Arial"/>
      <family val="2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164" fontId="1" fillId="0" borderId="0" applyFont="0" applyFill="0" applyBorder="0" applyAlignment="0" applyProtection="0"/>
  </cellStyleXfs>
  <cellXfs count="37">
    <xf numFmtId="0" fontId="0" fillId="0" borderId="0" xfId="0"/>
    <xf numFmtId="0" fontId="2" fillId="0" borderId="0" xfId="1" applyFont="1" applyAlignment="1">
      <alignment horizontal="center"/>
    </xf>
    <xf numFmtId="0" fontId="1" fillId="0" borderId="1" xfId="1" applyBorder="1"/>
    <xf numFmtId="0" fontId="1" fillId="0" borderId="2" xfId="1" applyBorder="1"/>
    <xf numFmtId="0" fontId="1" fillId="0" borderId="3" xfId="1" applyBorder="1"/>
    <xf numFmtId="0" fontId="1" fillId="0" borderId="0" xfId="1"/>
    <xf numFmtId="0" fontId="3" fillId="0" borderId="0" xfId="1" applyFont="1" applyAlignment="1">
      <alignment horizontal="center" vertical="center"/>
    </xf>
    <xf numFmtId="0" fontId="4" fillId="0" borderId="4" xfId="1" applyFont="1" applyBorder="1" applyAlignment="1">
      <alignment horizontal="center"/>
    </xf>
    <xf numFmtId="0" fontId="4" fillId="0" borderId="0" xfId="1" applyFont="1" applyAlignment="1">
      <alignment horizontal="center"/>
    </xf>
    <xf numFmtId="0" fontId="4" fillId="0" borderId="5" xfId="1" applyFont="1" applyBorder="1" applyAlignment="1">
      <alignment horizontal="center"/>
    </xf>
    <xf numFmtId="0" fontId="4" fillId="0" borderId="0" xfId="1" applyFont="1"/>
    <xf numFmtId="0" fontId="5" fillId="0" borderId="0" xfId="1" applyFont="1"/>
    <xf numFmtId="0" fontId="5" fillId="0" borderId="0" xfId="1" quotePrefix="1" applyFont="1" applyAlignment="1">
      <alignment horizontal="left"/>
    </xf>
    <xf numFmtId="0" fontId="1" fillId="0" borderId="0" xfId="1" applyAlignment="1">
      <alignment horizontal="left"/>
    </xf>
    <xf numFmtId="0" fontId="1" fillId="0" borderId="6" xfId="1" applyBorder="1"/>
    <xf numFmtId="0" fontId="1" fillId="0" borderId="7" xfId="1" applyBorder="1"/>
    <xf numFmtId="0" fontId="1" fillId="0" borderId="8" xfId="1" applyBorder="1"/>
    <xf numFmtId="0" fontId="1" fillId="0" borderId="9" xfId="1" applyBorder="1"/>
    <xf numFmtId="0" fontId="6" fillId="0" borderId="10" xfId="1" applyFont="1" applyBorder="1" applyAlignment="1">
      <alignment horizontal="center"/>
    </xf>
    <xf numFmtId="20" fontId="6" fillId="0" borderId="10" xfId="1" applyNumberFormat="1" applyFont="1" applyBorder="1" applyAlignment="1">
      <alignment horizontal="center" vertical="center"/>
    </xf>
    <xf numFmtId="0" fontId="6" fillId="0" borderId="11" xfId="1" applyFont="1" applyBorder="1" applyAlignment="1">
      <alignment horizontal="center" vertical="center"/>
    </xf>
    <xf numFmtId="0" fontId="4" fillId="0" borderId="12" xfId="1" applyFont="1" applyBorder="1" applyAlignment="1">
      <alignment horizontal="center"/>
    </xf>
    <xf numFmtId="0" fontId="4" fillId="0" borderId="12" xfId="1" applyFont="1" applyBorder="1"/>
    <xf numFmtId="0" fontId="6" fillId="0" borderId="10" xfId="1" applyFont="1" applyBorder="1" applyAlignment="1">
      <alignment horizontal="center" vertical="center"/>
    </xf>
    <xf numFmtId="164" fontId="7" fillId="0" borderId="10" xfId="2" applyFont="1" applyFill="1" applyBorder="1" applyAlignment="1">
      <alignment horizontal="center" vertical="center"/>
    </xf>
    <xf numFmtId="164" fontId="8" fillId="0" borderId="10" xfId="2" applyFont="1" applyBorder="1" applyAlignment="1">
      <alignment horizontal="center" vertical="center"/>
    </xf>
    <xf numFmtId="0" fontId="4" fillId="0" borderId="10" xfId="1" applyFont="1" applyBorder="1"/>
    <xf numFmtId="164" fontId="0" fillId="0" borderId="10" xfId="2" applyFont="1" applyBorder="1"/>
    <xf numFmtId="164" fontId="8" fillId="0" borderId="10" xfId="2" applyFont="1" applyFill="1" applyBorder="1" applyAlignment="1">
      <alignment horizontal="center" vertical="center"/>
    </xf>
    <xf numFmtId="164" fontId="0" fillId="0" borderId="10" xfId="2" applyFont="1" applyFill="1" applyBorder="1"/>
    <xf numFmtId="164" fontId="7" fillId="0" borderId="10" xfId="2" applyFont="1" applyBorder="1" applyAlignment="1">
      <alignment horizontal="center" vertical="center"/>
    </xf>
    <xf numFmtId="0" fontId="8" fillId="0" borderId="10" xfId="1" applyFont="1" applyBorder="1" applyAlignment="1">
      <alignment horizontal="center" vertical="center"/>
    </xf>
    <xf numFmtId="164" fontId="8" fillId="0" borderId="10" xfId="1" applyNumberFormat="1" applyFont="1" applyBorder="1" applyAlignment="1">
      <alignment horizontal="center" vertical="center"/>
    </xf>
    <xf numFmtId="2" fontId="8" fillId="0" borderId="10" xfId="1" applyNumberFormat="1" applyFont="1" applyBorder="1" applyAlignment="1">
      <alignment horizontal="center" vertical="center"/>
    </xf>
    <xf numFmtId="0" fontId="4" fillId="0" borderId="12" xfId="1" applyFont="1" applyBorder="1" applyAlignment="1">
      <alignment horizontal="right"/>
    </xf>
    <xf numFmtId="164" fontId="4" fillId="0" borderId="12" xfId="1" applyNumberFormat="1" applyFont="1" applyBorder="1"/>
    <xf numFmtId="0" fontId="7" fillId="0" borderId="0" xfId="1" applyFont="1"/>
  </cellXfs>
  <cellStyles count="3">
    <cellStyle name="Comma 2" xfId="2" xr:uid="{E2CA53AC-E8E2-44C2-A291-FC0C2F857888}"/>
    <cellStyle name="Normal" xfId="0" builtinId="0"/>
    <cellStyle name="Normal 2" xfId="1" xr:uid="{8764CAFF-B27D-40D7-8611-E15275425D3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26"/>
          <c:order val="0"/>
          <c:tx>
            <c:v>HIGHEST</c:v>
          </c:tx>
          <c:spPr>
            <a:solidFill>
              <a:srgbClr val="99CCFF"/>
            </a:solidFill>
            <a:ln w="12700">
              <a:solidFill>
                <a:srgbClr val="000000"/>
              </a:solidFill>
            </a:ln>
            <a:effectLst/>
          </c:spPr>
          <c:invertIfNegative val="0"/>
          <c:cat>
            <c:strRef>
              <c:f>STO.NINO!$A$6:$A$39</c:f>
              <c:strCache>
                <c:ptCount val="3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AVE.</c:v>
                </c:pt>
                <c:pt idx="32">
                  <c:v>*PTA</c:v>
                </c:pt>
              </c:strCache>
            </c:strRef>
          </c:cat>
          <c:val>
            <c:numRef>
              <c:f>STO.NINO!$AB$6:$AB$36</c:f>
              <c:numCache>
                <c:formatCode>_(* #,##0.00_);_(* \(#,##0.00\);_(* "-"??_);_(@_)</c:formatCode>
                <c:ptCount val="31"/>
                <c:pt idx="0">
                  <c:v>11.48</c:v>
                </c:pt>
                <c:pt idx="1">
                  <c:v>11.5</c:v>
                </c:pt>
                <c:pt idx="2">
                  <c:v>11.5</c:v>
                </c:pt>
                <c:pt idx="3">
                  <c:v>11.49</c:v>
                </c:pt>
                <c:pt idx="4">
                  <c:v>11.49</c:v>
                </c:pt>
                <c:pt idx="5">
                  <c:v>11.48</c:v>
                </c:pt>
                <c:pt idx="6">
                  <c:v>11.48</c:v>
                </c:pt>
                <c:pt idx="7">
                  <c:v>11.87</c:v>
                </c:pt>
                <c:pt idx="8">
                  <c:v>11.49</c:v>
                </c:pt>
                <c:pt idx="9">
                  <c:v>11.49</c:v>
                </c:pt>
                <c:pt idx="10">
                  <c:v>11.49</c:v>
                </c:pt>
                <c:pt idx="11">
                  <c:v>11.48</c:v>
                </c:pt>
                <c:pt idx="12">
                  <c:v>11.48</c:v>
                </c:pt>
                <c:pt idx="13">
                  <c:v>11.48</c:v>
                </c:pt>
                <c:pt idx="14">
                  <c:v>11.47</c:v>
                </c:pt>
                <c:pt idx="15">
                  <c:v>11.47</c:v>
                </c:pt>
                <c:pt idx="16">
                  <c:v>11.46</c:v>
                </c:pt>
                <c:pt idx="17">
                  <c:v>11.46</c:v>
                </c:pt>
                <c:pt idx="18">
                  <c:v>11.46</c:v>
                </c:pt>
                <c:pt idx="19">
                  <c:v>11.45</c:v>
                </c:pt>
                <c:pt idx="20">
                  <c:v>11.45</c:v>
                </c:pt>
                <c:pt idx="21">
                  <c:v>13.11</c:v>
                </c:pt>
                <c:pt idx="22">
                  <c:v>16.190000000000001</c:v>
                </c:pt>
                <c:pt idx="23">
                  <c:v>20.100000000000001</c:v>
                </c:pt>
                <c:pt idx="24">
                  <c:v>15.03</c:v>
                </c:pt>
                <c:pt idx="25">
                  <c:v>13.99</c:v>
                </c:pt>
                <c:pt idx="26">
                  <c:v>13.6</c:v>
                </c:pt>
                <c:pt idx="27">
                  <c:v>13.56</c:v>
                </c:pt>
                <c:pt idx="28">
                  <c:v>13.03</c:v>
                </c:pt>
                <c:pt idx="29">
                  <c:v>12.55</c:v>
                </c:pt>
                <c:pt idx="30">
                  <c:v>12.1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C41-4413-BE18-CDF443D85E1B}"/>
            </c:ext>
          </c:extLst>
        </c:ser>
        <c:ser>
          <c:idx val="27"/>
          <c:order val="1"/>
          <c:tx>
            <c:v>LOWEST</c:v>
          </c:tx>
          <c:spPr>
            <a:solidFill>
              <a:schemeClr val="bg1"/>
            </a:solidFill>
            <a:ln w="12700">
              <a:solidFill>
                <a:srgbClr val="000000"/>
              </a:solidFill>
            </a:ln>
            <a:effectLst/>
          </c:spPr>
          <c:invertIfNegative val="0"/>
          <c:cat>
            <c:strRef>
              <c:f>STO.NINO!$A$6:$A$39</c:f>
              <c:strCache>
                <c:ptCount val="3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AVE.</c:v>
                </c:pt>
                <c:pt idx="32">
                  <c:v>*PTA</c:v>
                </c:pt>
              </c:strCache>
            </c:strRef>
          </c:cat>
          <c:val>
            <c:numRef>
              <c:f>STO.NINO!$AC$6:$AC$36</c:f>
              <c:numCache>
                <c:formatCode>_(* #,##0.00_);_(* \(#,##0.00\);_(* "-"??_);_(@_)</c:formatCode>
                <c:ptCount val="31"/>
                <c:pt idx="0">
                  <c:v>11.47</c:v>
                </c:pt>
                <c:pt idx="1">
                  <c:v>11.47</c:v>
                </c:pt>
                <c:pt idx="2">
                  <c:v>11.49</c:v>
                </c:pt>
                <c:pt idx="3">
                  <c:v>11.49</c:v>
                </c:pt>
                <c:pt idx="4">
                  <c:v>11.48</c:v>
                </c:pt>
                <c:pt idx="5">
                  <c:v>11.48</c:v>
                </c:pt>
                <c:pt idx="6">
                  <c:v>11.48</c:v>
                </c:pt>
                <c:pt idx="7">
                  <c:v>11.47</c:v>
                </c:pt>
                <c:pt idx="8">
                  <c:v>11.49</c:v>
                </c:pt>
                <c:pt idx="9">
                  <c:v>11.49</c:v>
                </c:pt>
                <c:pt idx="10">
                  <c:v>11.49</c:v>
                </c:pt>
                <c:pt idx="11">
                  <c:v>11.48</c:v>
                </c:pt>
                <c:pt idx="12">
                  <c:v>11.48</c:v>
                </c:pt>
                <c:pt idx="13">
                  <c:v>11.47</c:v>
                </c:pt>
                <c:pt idx="14">
                  <c:v>11.47</c:v>
                </c:pt>
                <c:pt idx="15">
                  <c:v>11.47</c:v>
                </c:pt>
                <c:pt idx="16">
                  <c:v>11.46</c:v>
                </c:pt>
                <c:pt idx="17">
                  <c:v>11.46</c:v>
                </c:pt>
                <c:pt idx="18">
                  <c:v>11.45</c:v>
                </c:pt>
                <c:pt idx="19">
                  <c:v>11.45</c:v>
                </c:pt>
                <c:pt idx="20">
                  <c:v>11.45</c:v>
                </c:pt>
                <c:pt idx="21">
                  <c:v>11.45</c:v>
                </c:pt>
                <c:pt idx="22">
                  <c:v>12.74</c:v>
                </c:pt>
                <c:pt idx="23">
                  <c:v>15.1</c:v>
                </c:pt>
                <c:pt idx="24">
                  <c:v>13.99</c:v>
                </c:pt>
                <c:pt idx="25">
                  <c:v>13.62</c:v>
                </c:pt>
                <c:pt idx="26">
                  <c:v>13.32</c:v>
                </c:pt>
                <c:pt idx="27">
                  <c:v>13.06</c:v>
                </c:pt>
                <c:pt idx="28">
                  <c:v>12.57</c:v>
                </c:pt>
                <c:pt idx="29">
                  <c:v>12.13</c:v>
                </c:pt>
                <c:pt idx="30">
                  <c:v>11.92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C41-4413-BE18-CDF443D85E1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-1635049488"/>
        <c:axId val="-1635048944"/>
      </c:barChart>
      <c:catAx>
        <c:axId val="-16350494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ln>
                  <a:solidFill>
                    <a:srgbClr val="000000"/>
                  </a:solidFill>
                </a:ln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635048944"/>
        <c:crosses val="autoZero"/>
        <c:auto val="1"/>
        <c:lblAlgn val="ctr"/>
        <c:lblOffset val="100"/>
        <c:noMultiLvlLbl val="0"/>
      </c:catAx>
      <c:valAx>
        <c:axId val="-16350489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/>
              </a:solidFill>
              <a:round/>
            </a:ln>
            <a:effectLst/>
          </c:spPr>
        </c:majorGridlines>
        <c:numFmt formatCode="_(* #,##0.00_);_(* \(#,##0.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ln>
                  <a:solidFill>
                    <a:srgbClr val="000000"/>
                  </a:solidFill>
                </a:ln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6350494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ln>
                <a:solidFill>
                  <a:srgbClr val="000000"/>
                </a:solidFill>
              </a:ln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rgbClr val="000000"/>
      </a:solidFill>
      <a:round/>
    </a:ln>
    <a:effectLst/>
  </c:spPr>
  <c:txPr>
    <a:bodyPr/>
    <a:lstStyle/>
    <a:p>
      <a:pPr>
        <a:defRPr>
          <a:ln>
            <a:solidFill>
              <a:srgbClr val="000000"/>
            </a:solidFill>
          </a:ln>
        </a:defRPr>
      </a:pPr>
      <a:endParaRPr lang="en-US"/>
    </a:p>
  </c:txPr>
  <c:printSettings>
    <c:headerFooter/>
    <c:pageMargins b="0.75" l="0.7" r="0.7" t="0.75" header="0.3" footer="0.3"/>
    <c:pageSetup paperSize="9" orientation="landscape"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</xdr:colOff>
      <xdr:row>4</xdr:row>
      <xdr:rowOff>7620</xdr:rowOff>
    </xdr:from>
    <xdr:to>
      <xdr:col>1</xdr:col>
      <xdr:colOff>0</xdr:colOff>
      <xdr:row>5</xdr:row>
      <xdr:rowOff>0</xdr:rowOff>
    </xdr:to>
    <xdr:sp macro="" textlink="">
      <xdr:nvSpPr>
        <xdr:cNvPr id="2" name="Line 1">
          <a:extLst>
            <a:ext uri="{FF2B5EF4-FFF2-40B4-BE49-F238E27FC236}">
              <a16:creationId xmlns:a16="http://schemas.microsoft.com/office/drawing/2014/main" id="{F0C17D3D-E759-4346-841D-96A397FA518F}"/>
            </a:ext>
          </a:extLst>
        </xdr:cNvPr>
        <xdr:cNvSpPr>
          <a:spLocks noChangeShapeType="1"/>
        </xdr:cNvSpPr>
      </xdr:nvSpPr>
      <xdr:spPr bwMode="auto">
        <a:xfrm>
          <a:off x="7620" y="937260"/>
          <a:ext cx="426720" cy="16002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oneCellAnchor>
    <xdr:from>
      <xdr:col>0</xdr:col>
      <xdr:colOff>236220</xdr:colOff>
      <xdr:row>4</xdr:row>
      <xdr:rowOff>0</xdr:rowOff>
    </xdr:from>
    <xdr:ext cx="173434" cy="101974"/>
    <xdr:sp macro="" textlink="">
      <xdr:nvSpPr>
        <xdr:cNvPr id="3" name="Text Box 2">
          <a:extLst>
            <a:ext uri="{FF2B5EF4-FFF2-40B4-BE49-F238E27FC236}">
              <a16:creationId xmlns:a16="http://schemas.microsoft.com/office/drawing/2014/main" id="{4C67023C-C8DE-438C-9648-546D6E5D10CF}"/>
            </a:ext>
          </a:extLst>
        </xdr:cNvPr>
        <xdr:cNvSpPr txBox="1">
          <a:spLocks noChangeArrowheads="1"/>
        </xdr:cNvSpPr>
      </xdr:nvSpPr>
      <xdr:spPr bwMode="auto">
        <a:xfrm>
          <a:off x="236220" y="929640"/>
          <a:ext cx="173434" cy="10197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US" sz="500" b="0" i="0" strike="noStrike">
              <a:solidFill>
                <a:srgbClr val="000000"/>
              </a:solidFill>
              <a:latin typeface="Arial"/>
              <a:cs typeface="Arial"/>
            </a:rPr>
            <a:t>TIME</a:t>
          </a:r>
        </a:p>
      </xdr:txBody>
    </xdr:sp>
    <xdr:clientData/>
  </xdr:oneCellAnchor>
  <xdr:oneCellAnchor>
    <xdr:from>
      <xdr:col>0</xdr:col>
      <xdr:colOff>0</xdr:colOff>
      <xdr:row>4</xdr:row>
      <xdr:rowOff>66675</xdr:rowOff>
    </xdr:from>
    <xdr:ext cx="192332" cy="109257"/>
    <xdr:sp macro="" textlink="">
      <xdr:nvSpPr>
        <xdr:cNvPr id="4" name="Text Box 3">
          <a:extLst>
            <a:ext uri="{FF2B5EF4-FFF2-40B4-BE49-F238E27FC236}">
              <a16:creationId xmlns:a16="http://schemas.microsoft.com/office/drawing/2014/main" id="{C766052D-FA3F-4C91-B029-7AC75E2CFC7F}"/>
            </a:ext>
          </a:extLst>
        </xdr:cNvPr>
        <xdr:cNvSpPr txBox="1">
          <a:spLocks noChangeArrowheads="1"/>
        </xdr:cNvSpPr>
      </xdr:nvSpPr>
      <xdr:spPr bwMode="auto">
        <a:xfrm>
          <a:off x="0" y="996315"/>
          <a:ext cx="192332" cy="10925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US" sz="500" b="0" i="0" strike="noStrike">
              <a:solidFill>
                <a:srgbClr val="000000"/>
              </a:solidFill>
              <a:latin typeface="Arial"/>
              <a:cs typeface="Arial"/>
            </a:rPr>
            <a:t>DATE</a:t>
          </a:r>
        </a:p>
      </xdr:txBody>
    </xdr:sp>
    <xdr:clientData/>
  </xdr:oneCellAnchor>
  <xdr:twoCellAnchor>
    <xdr:from>
      <xdr:col>29</xdr:col>
      <xdr:colOff>387350</xdr:colOff>
      <xdr:row>5</xdr:row>
      <xdr:rowOff>88900</xdr:rowOff>
    </xdr:from>
    <xdr:to>
      <xdr:col>42</xdr:col>
      <xdr:colOff>304800</xdr:colOff>
      <xdr:row>35</xdr:row>
      <xdr:rowOff>139700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811F54AA-C028-45B5-8D74-321393AE884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oneCellAnchor>
    <xdr:from>
      <xdr:col>29</xdr:col>
      <xdr:colOff>431802</xdr:colOff>
      <xdr:row>15</xdr:row>
      <xdr:rowOff>25400</xdr:rowOff>
    </xdr:from>
    <xdr:ext cx="530658" cy="1832681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EFE5B5AF-FC22-44E3-9352-95A0A6CC3420}"/>
            </a:ext>
          </a:extLst>
        </xdr:cNvPr>
        <xdr:cNvSpPr txBox="1"/>
      </xdr:nvSpPr>
      <xdr:spPr>
        <a:xfrm rot="16200000">
          <a:off x="12079470" y="3526292"/>
          <a:ext cx="1832681" cy="5306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PH" sz="2800">
              <a:solidFill>
                <a:schemeClr val="tx1">
                  <a:alpha val="50000"/>
                </a:schemeClr>
              </a:solidFill>
            </a:rPr>
            <a:t>ELEVATION</a:t>
          </a:r>
        </a:p>
      </xdr:txBody>
    </xdr:sp>
    <xdr:clientData/>
  </xdr:oneCellAnchor>
  <xdr:oneCellAnchor>
    <xdr:from>
      <xdr:col>35</xdr:col>
      <xdr:colOff>114301</xdr:colOff>
      <xdr:row>31</xdr:row>
      <xdr:rowOff>165100</xdr:rowOff>
    </xdr:from>
    <xdr:ext cx="953274" cy="530658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CA9AB5E1-8A30-4AF2-9E94-862CD115BAC3}"/>
            </a:ext>
          </a:extLst>
        </xdr:cNvPr>
        <xdr:cNvSpPr txBox="1"/>
      </xdr:nvSpPr>
      <xdr:spPr>
        <a:xfrm>
          <a:off x="16070581" y="5819140"/>
          <a:ext cx="953274" cy="5306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PH" sz="2800">
              <a:solidFill>
                <a:schemeClr val="tx1">
                  <a:alpha val="50000"/>
                </a:schemeClr>
              </a:solidFill>
            </a:rPr>
            <a:t>DAYS</a:t>
          </a:r>
        </a:p>
      </xdr:txBody>
    </xdr:sp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y%20Drive\EFCOS%20FILES\1.%20Rainfall%20and%20Waterlevel%20Data%20Sheet\2024\7.%20JULY%202024.xlsx" TargetMode="External"/><Relationship Id="rId1" Type="http://schemas.openxmlformats.org/officeDocument/2006/relationships/externalLinkPath" Target="/My%20Drive/EFCOS%20FILES/1.%20Rainfall%20and%20Waterlevel%20Data%20Sheet/2024/7.%20JULY%20202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JUL 1"/>
      <sheetName val="JUL 2"/>
      <sheetName val="JUL 3"/>
      <sheetName val="JUL 4"/>
      <sheetName val="JUL 5"/>
      <sheetName val="JUL 6"/>
      <sheetName val="JUL 7"/>
      <sheetName val="JUL 8"/>
      <sheetName val="JUL 9"/>
      <sheetName val="JUL 10"/>
      <sheetName val="JUL 11"/>
      <sheetName val="JUL 12"/>
      <sheetName val="JUL 13"/>
      <sheetName val="JUL 14"/>
      <sheetName val="JUL 15"/>
      <sheetName val="JUL 16"/>
      <sheetName val="JUL 17"/>
      <sheetName val="JUL 18"/>
      <sheetName val="JUL 19"/>
      <sheetName val="JUL 20"/>
      <sheetName val="JUL 21"/>
      <sheetName val="JUL 22"/>
      <sheetName val="JUL 23"/>
      <sheetName val="JUL 24"/>
      <sheetName val="JUL 25"/>
      <sheetName val="JUL 26"/>
      <sheetName val="JUL 27"/>
      <sheetName val="JUL 28"/>
      <sheetName val="JUL 29"/>
      <sheetName val="JUL 30"/>
      <sheetName val="JUL 31"/>
      <sheetName val="MT. CAMPANA"/>
      <sheetName val="BOSO BOSO"/>
      <sheetName val="ARIES"/>
      <sheetName val="MT. ORO"/>
      <sheetName val="MONTALBAN"/>
      <sheetName val="NANGKA RGS"/>
      <sheetName val="NANGKA WLGS"/>
      <sheetName val="STO.NINO"/>
      <sheetName val="ROSARIO JS"/>
      <sheetName val="ROSARIO LS"/>
      <sheetName val="NAPINDAN RGS"/>
      <sheetName val="NAPINDAN JS"/>
      <sheetName val="NAPINDAN LS"/>
      <sheetName val="SCIENCE GARDEN"/>
      <sheetName val="SAN JUAN"/>
      <sheetName val="PANDACAN"/>
      <sheetName val="FORT SANTIAGO"/>
      <sheetName val="ANGONO"/>
    </sheetNames>
    <sheetDataSet>
      <sheetData sheetId="0">
        <row r="33">
          <cell r="B33">
            <v>11.48</v>
          </cell>
          <cell r="C33">
            <v>11.47</v>
          </cell>
          <cell r="D33">
            <v>11.47</v>
          </cell>
          <cell r="E33">
            <v>11.47</v>
          </cell>
          <cell r="F33">
            <v>11.47</v>
          </cell>
          <cell r="G33">
            <v>11.47</v>
          </cell>
          <cell r="H33">
            <v>11.47</v>
          </cell>
          <cell r="I33">
            <v>11.47</v>
          </cell>
          <cell r="J33">
            <v>11.47</v>
          </cell>
          <cell r="K33">
            <v>11.47</v>
          </cell>
          <cell r="L33">
            <v>11.47</v>
          </cell>
          <cell r="M33">
            <v>11.47</v>
          </cell>
          <cell r="N33">
            <v>11.47</v>
          </cell>
          <cell r="O33">
            <v>11.47</v>
          </cell>
          <cell r="P33">
            <v>11.47</v>
          </cell>
          <cell r="Q33">
            <v>11.47</v>
          </cell>
          <cell r="R33">
            <v>11.47</v>
          </cell>
          <cell r="S33">
            <v>11.47</v>
          </cell>
          <cell r="T33">
            <v>11.47</v>
          </cell>
          <cell r="U33">
            <v>11.47</v>
          </cell>
          <cell r="V33">
            <v>11.47</v>
          </cell>
          <cell r="W33">
            <v>11.47</v>
          </cell>
          <cell r="X33">
            <v>11.47</v>
          </cell>
          <cell r="Y33">
            <v>11.47</v>
          </cell>
        </row>
      </sheetData>
      <sheetData sheetId="1">
        <row r="33">
          <cell r="B33">
            <v>11.47</v>
          </cell>
          <cell r="C33">
            <v>11.47</v>
          </cell>
          <cell r="D33">
            <v>11.47</v>
          </cell>
          <cell r="E33">
            <v>11.47</v>
          </cell>
          <cell r="F33">
            <v>11.47</v>
          </cell>
          <cell r="G33">
            <v>11.47</v>
          </cell>
          <cell r="H33">
            <v>11.47</v>
          </cell>
          <cell r="I33">
            <v>11.47</v>
          </cell>
          <cell r="J33">
            <v>11.47</v>
          </cell>
          <cell r="K33">
            <v>11.47</v>
          </cell>
          <cell r="L33">
            <v>11.47</v>
          </cell>
          <cell r="M33">
            <v>11.47</v>
          </cell>
          <cell r="N33">
            <v>11.47</v>
          </cell>
          <cell r="O33">
            <v>11.47</v>
          </cell>
          <cell r="P33">
            <v>11.5</v>
          </cell>
          <cell r="Q33">
            <v>11.5</v>
          </cell>
          <cell r="R33">
            <v>11.5</v>
          </cell>
          <cell r="S33">
            <v>11.5</v>
          </cell>
          <cell r="T33">
            <v>11.5</v>
          </cell>
          <cell r="U33">
            <v>11.5</v>
          </cell>
          <cell r="V33">
            <v>11.5</v>
          </cell>
          <cell r="W33">
            <v>11.5</v>
          </cell>
          <cell r="X33">
            <v>11.5</v>
          </cell>
          <cell r="Y33">
            <v>11.5</v>
          </cell>
        </row>
      </sheetData>
      <sheetData sheetId="2">
        <row r="33">
          <cell r="B33">
            <v>11.5</v>
          </cell>
          <cell r="C33">
            <v>11.5</v>
          </cell>
          <cell r="D33">
            <v>11.5</v>
          </cell>
          <cell r="E33">
            <v>11.5</v>
          </cell>
          <cell r="F33" t="str">
            <v>**</v>
          </cell>
          <cell r="G33">
            <v>11.49</v>
          </cell>
          <cell r="H33">
            <v>11.49</v>
          </cell>
          <cell r="I33">
            <v>11.49</v>
          </cell>
          <cell r="J33">
            <v>11.49</v>
          </cell>
          <cell r="K33">
            <v>11.49</v>
          </cell>
          <cell r="L33">
            <v>11.49</v>
          </cell>
          <cell r="M33">
            <v>11.49</v>
          </cell>
          <cell r="N33">
            <v>11.49</v>
          </cell>
          <cell r="O33">
            <v>11.49</v>
          </cell>
          <cell r="P33">
            <v>11.49</v>
          </cell>
          <cell r="Q33">
            <v>11.49</v>
          </cell>
          <cell r="R33">
            <v>11.49</v>
          </cell>
          <cell r="S33">
            <v>11.49</v>
          </cell>
          <cell r="T33">
            <v>11.49</v>
          </cell>
          <cell r="U33">
            <v>11.49</v>
          </cell>
          <cell r="V33">
            <v>11.49</v>
          </cell>
          <cell r="W33">
            <v>11.49</v>
          </cell>
          <cell r="X33">
            <v>11.49</v>
          </cell>
          <cell r="Y33">
            <v>11.49</v>
          </cell>
        </row>
      </sheetData>
      <sheetData sheetId="3">
        <row r="33">
          <cell r="B33">
            <v>11.49</v>
          </cell>
          <cell r="C33">
            <v>11.49</v>
          </cell>
          <cell r="D33">
            <v>11.49</v>
          </cell>
          <cell r="E33">
            <v>11.49</v>
          </cell>
          <cell r="F33">
            <v>11.49</v>
          </cell>
          <cell r="G33">
            <v>11.49</v>
          </cell>
          <cell r="H33">
            <v>11.49</v>
          </cell>
          <cell r="I33">
            <v>11.49</v>
          </cell>
          <cell r="J33">
            <v>11.49</v>
          </cell>
          <cell r="K33">
            <v>11.49</v>
          </cell>
          <cell r="L33">
            <v>11.49</v>
          </cell>
          <cell r="M33">
            <v>11.49</v>
          </cell>
          <cell r="N33">
            <v>11.49</v>
          </cell>
          <cell r="O33">
            <v>11.49</v>
          </cell>
          <cell r="P33">
            <v>11.49</v>
          </cell>
          <cell r="Q33">
            <v>11.49</v>
          </cell>
          <cell r="R33">
            <v>11.49</v>
          </cell>
          <cell r="S33">
            <v>11.49</v>
          </cell>
          <cell r="T33">
            <v>11.49</v>
          </cell>
          <cell r="U33">
            <v>11.49</v>
          </cell>
          <cell r="V33">
            <v>11.49</v>
          </cell>
          <cell r="W33">
            <v>11.49</v>
          </cell>
          <cell r="X33">
            <v>11.49</v>
          </cell>
          <cell r="Y33">
            <v>11.49</v>
          </cell>
        </row>
      </sheetData>
      <sheetData sheetId="4">
        <row r="33">
          <cell r="B33">
            <v>11.49</v>
          </cell>
          <cell r="C33">
            <v>11.49</v>
          </cell>
          <cell r="D33">
            <v>11.49</v>
          </cell>
          <cell r="E33">
            <v>11.49</v>
          </cell>
          <cell r="F33">
            <v>11.49</v>
          </cell>
          <cell r="G33">
            <v>11.49</v>
          </cell>
          <cell r="H33">
            <v>11.49</v>
          </cell>
          <cell r="I33">
            <v>11.49</v>
          </cell>
          <cell r="J33">
            <v>11.49</v>
          </cell>
          <cell r="K33">
            <v>11.49</v>
          </cell>
          <cell r="L33">
            <v>11.49</v>
          </cell>
          <cell r="M33">
            <v>11.49</v>
          </cell>
          <cell r="N33">
            <v>11.49</v>
          </cell>
          <cell r="O33">
            <v>11.49</v>
          </cell>
          <cell r="P33">
            <v>11.49</v>
          </cell>
          <cell r="Q33">
            <v>11.49</v>
          </cell>
          <cell r="R33">
            <v>11.49</v>
          </cell>
          <cell r="S33">
            <v>11.49</v>
          </cell>
          <cell r="T33">
            <v>11.49</v>
          </cell>
          <cell r="U33">
            <v>11.49</v>
          </cell>
          <cell r="V33">
            <v>11.49</v>
          </cell>
          <cell r="W33">
            <v>11.49</v>
          </cell>
          <cell r="X33">
            <v>11.49</v>
          </cell>
          <cell r="Y33">
            <v>11.48</v>
          </cell>
        </row>
      </sheetData>
      <sheetData sheetId="5">
        <row r="33">
          <cell r="B33">
            <v>11.48</v>
          </cell>
          <cell r="C33">
            <v>11.48</v>
          </cell>
          <cell r="D33">
            <v>11.48</v>
          </cell>
          <cell r="E33">
            <v>11.48</v>
          </cell>
          <cell r="F33">
            <v>11.48</v>
          </cell>
          <cell r="G33">
            <v>11.48</v>
          </cell>
          <cell r="H33">
            <v>11.48</v>
          </cell>
          <cell r="I33">
            <v>11.48</v>
          </cell>
          <cell r="J33">
            <v>11.48</v>
          </cell>
          <cell r="K33">
            <v>11.48</v>
          </cell>
          <cell r="L33">
            <v>11.48</v>
          </cell>
          <cell r="M33">
            <v>11.48</v>
          </cell>
          <cell r="N33">
            <v>11.48</v>
          </cell>
          <cell r="O33">
            <v>11.48</v>
          </cell>
          <cell r="P33">
            <v>11.48</v>
          </cell>
          <cell r="Q33">
            <v>11.48</v>
          </cell>
          <cell r="R33">
            <v>11.48</v>
          </cell>
          <cell r="S33">
            <v>11.48</v>
          </cell>
          <cell r="T33">
            <v>11.48</v>
          </cell>
          <cell r="U33">
            <v>11.48</v>
          </cell>
          <cell r="V33">
            <v>11.48</v>
          </cell>
          <cell r="W33">
            <v>11.48</v>
          </cell>
          <cell r="X33">
            <v>11.48</v>
          </cell>
          <cell r="Y33">
            <v>11.48</v>
          </cell>
        </row>
      </sheetData>
      <sheetData sheetId="6">
        <row r="33">
          <cell r="B33">
            <v>11.48</v>
          </cell>
          <cell r="C33">
            <v>11.48</v>
          </cell>
          <cell r="D33">
            <v>11.48</v>
          </cell>
          <cell r="E33">
            <v>11.48</v>
          </cell>
          <cell r="F33">
            <v>11.48</v>
          </cell>
          <cell r="G33">
            <v>11.48</v>
          </cell>
          <cell r="H33">
            <v>11.48</v>
          </cell>
          <cell r="I33">
            <v>11.48</v>
          </cell>
          <cell r="J33">
            <v>11.48</v>
          </cell>
          <cell r="K33">
            <v>11.48</v>
          </cell>
          <cell r="L33">
            <v>11.48</v>
          </cell>
          <cell r="M33">
            <v>11.48</v>
          </cell>
          <cell r="N33">
            <v>11.48</v>
          </cell>
          <cell r="O33">
            <v>11.48</v>
          </cell>
          <cell r="P33">
            <v>11.48</v>
          </cell>
          <cell r="Q33">
            <v>11.48</v>
          </cell>
          <cell r="R33">
            <v>11.48</v>
          </cell>
          <cell r="S33">
            <v>11.48</v>
          </cell>
          <cell r="T33">
            <v>11.48</v>
          </cell>
          <cell r="U33">
            <v>11.48</v>
          </cell>
          <cell r="V33">
            <v>11.48</v>
          </cell>
          <cell r="W33">
            <v>11.48</v>
          </cell>
          <cell r="X33">
            <v>11.48</v>
          </cell>
          <cell r="Y33">
            <v>11.48</v>
          </cell>
        </row>
      </sheetData>
      <sheetData sheetId="7">
        <row r="33">
          <cell r="B33">
            <v>11.48</v>
          </cell>
          <cell r="C33">
            <v>11.48</v>
          </cell>
          <cell r="D33">
            <v>11.48</v>
          </cell>
          <cell r="E33">
            <v>11.48</v>
          </cell>
          <cell r="F33">
            <v>11.48</v>
          </cell>
          <cell r="G33">
            <v>11.48</v>
          </cell>
          <cell r="H33">
            <v>11.47</v>
          </cell>
          <cell r="I33">
            <v>11.47</v>
          </cell>
          <cell r="J33">
            <v>11.47</v>
          </cell>
          <cell r="K33">
            <v>11.81</v>
          </cell>
          <cell r="L33">
            <v>11.87</v>
          </cell>
          <cell r="M33">
            <v>11.72</v>
          </cell>
          <cell r="N33">
            <v>11.57</v>
          </cell>
          <cell r="O33">
            <v>11.5</v>
          </cell>
          <cell r="P33">
            <v>11.5</v>
          </cell>
          <cell r="Q33">
            <v>11.5</v>
          </cell>
          <cell r="R33">
            <v>11.49</v>
          </cell>
          <cell r="S33">
            <v>11.49</v>
          </cell>
          <cell r="T33">
            <v>11.49</v>
          </cell>
          <cell r="U33">
            <v>11.49</v>
          </cell>
          <cell r="V33">
            <v>11.49</v>
          </cell>
          <cell r="W33">
            <v>11.49</v>
          </cell>
          <cell r="X33">
            <v>11.49</v>
          </cell>
          <cell r="Y33">
            <v>11.49</v>
          </cell>
        </row>
      </sheetData>
      <sheetData sheetId="8">
        <row r="33">
          <cell r="B33">
            <v>11.49</v>
          </cell>
          <cell r="C33">
            <v>11.49</v>
          </cell>
          <cell r="D33">
            <v>11.49</v>
          </cell>
          <cell r="E33">
            <v>11.49</v>
          </cell>
          <cell r="F33">
            <v>11.49</v>
          </cell>
          <cell r="G33">
            <v>11.49</v>
          </cell>
          <cell r="H33" t="str">
            <v>**</v>
          </cell>
          <cell r="I33">
            <v>11.49</v>
          </cell>
          <cell r="J33" t="str">
            <v>**</v>
          </cell>
          <cell r="K33" t="str">
            <v>**</v>
          </cell>
          <cell r="L33" t="str">
            <v>**</v>
          </cell>
          <cell r="M33" t="str">
            <v>**</v>
          </cell>
          <cell r="N33">
            <v>11.49</v>
          </cell>
          <cell r="O33" t="str">
            <v>**</v>
          </cell>
          <cell r="P33" t="str">
            <v>**</v>
          </cell>
          <cell r="Q33" t="str">
            <v>**</v>
          </cell>
          <cell r="R33" t="str">
            <v>**</v>
          </cell>
          <cell r="S33" t="str">
            <v>**</v>
          </cell>
          <cell r="T33" t="str">
            <v>**</v>
          </cell>
          <cell r="U33" t="str">
            <v>**</v>
          </cell>
          <cell r="V33" t="str">
            <v>**</v>
          </cell>
          <cell r="W33" t="str">
            <v>**</v>
          </cell>
          <cell r="X33" t="str">
            <v>**</v>
          </cell>
          <cell r="Y33">
            <v>11.49</v>
          </cell>
        </row>
      </sheetData>
      <sheetData sheetId="9">
        <row r="33">
          <cell r="B33">
            <v>11.49</v>
          </cell>
          <cell r="C33">
            <v>11.49</v>
          </cell>
          <cell r="D33">
            <v>11.49</v>
          </cell>
          <cell r="E33">
            <v>11.49</v>
          </cell>
          <cell r="F33">
            <v>11.49</v>
          </cell>
          <cell r="G33">
            <v>11.49</v>
          </cell>
          <cell r="H33">
            <v>11.49</v>
          </cell>
          <cell r="I33">
            <v>11.49</v>
          </cell>
          <cell r="J33" t="str">
            <v>**</v>
          </cell>
          <cell r="K33" t="str">
            <v>**</v>
          </cell>
          <cell r="L33">
            <v>11.49</v>
          </cell>
          <cell r="M33" t="str">
            <v>**</v>
          </cell>
          <cell r="N33" t="str">
            <v>**</v>
          </cell>
          <cell r="O33" t="str">
            <v>**</v>
          </cell>
          <cell r="P33" t="str">
            <v>**</v>
          </cell>
          <cell r="Q33" t="str">
            <v>**</v>
          </cell>
          <cell r="R33" t="str">
            <v>**</v>
          </cell>
          <cell r="S33" t="str">
            <v>**</v>
          </cell>
          <cell r="T33" t="str">
            <v>**</v>
          </cell>
          <cell r="U33" t="str">
            <v>**</v>
          </cell>
          <cell r="V33" t="str">
            <v>**</v>
          </cell>
          <cell r="W33" t="str">
            <v>**</v>
          </cell>
          <cell r="X33" t="str">
            <v>**</v>
          </cell>
          <cell r="Y33" t="str">
            <v>**</v>
          </cell>
        </row>
      </sheetData>
      <sheetData sheetId="10">
        <row r="33">
          <cell r="B33">
            <v>11.49</v>
          </cell>
          <cell r="C33">
            <v>11.49</v>
          </cell>
          <cell r="D33">
            <v>11.49</v>
          </cell>
          <cell r="E33">
            <v>11.49</v>
          </cell>
          <cell r="F33">
            <v>11.49</v>
          </cell>
          <cell r="G33">
            <v>11.49</v>
          </cell>
          <cell r="H33">
            <v>11.49</v>
          </cell>
          <cell r="I33">
            <v>11.49</v>
          </cell>
          <cell r="J33" t="str">
            <v>**</v>
          </cell>
          <cell r="K33" t="str">
            <v>**</v>
          </cell>
          <cell r="L33" t="str">
            <v>**</v>
          </cell>
          <cell r="M33" t="str">
            <v>**</v>
          </cell>
          <cell r="N33" t="str">
            <v>**</v>
          </cell>
          <cell r="O33" t="str">
            <v>**</v>
          </cell>
          <cell r="P33" t="str">
            <v>**</v>
          </cell>
          <cell r="Q33" t="str">
            <v>**</v>
          </cell>
          <cell r="R33" t="str">
            <v>**</v>
          </cell>
          <cell r="S33" t="str">
            <v>**</v>
          </cell>
          <cell r="T33" t="str">
            <v>**</v>
          </cell>
          <cell r="U33" t="str">
            <v>**</v>
          </cell>
          <cell r="V33" t="str">
            <v>**</v>
          </cell>
          <cell r="W33" t="str">
            <v>**</v>
          </cell>
          <cell r="X33" t="str">
            <v>**</v>
          </cell>
          <cell r="Y33" t="str">
            <v>**</v>
          </cell>
        </row>
      </sheetData>
      <sheetData sheetId="11">
        <row r="33">
          <cell r="B33">
            <v>11.48</v>
          </cell>
          <cell r="C33">
            <v>11.48</v>
          </cell>
          <cell r="D33">
            <v>11.48</v>
          </cell>
          <cell r="E33">
            <v>11.48</v>
          </cell>
          <cell r="F33">
            <v>11.48</v>
          </cell>
          <cell r="G33">
            <v>11.48</v>
          </cell>
          <cell r="H33" t="str">
            <v>**</v>
          </cell>
          <cell r="I33" t="str">
            <v>**</v>
          </cell>
          <cell r="J33" t="str">
            <v>**</v>
          </cell>
          <cell r="K33" t="str">
            <v>**</v>
          </cell>
          <cell r="L33" t="str">
            <v>**</v>
          </cell>
          <cell r="M33" t="str">
            <v>**</v>
          </cell>
          <cell r="N33" t="str">
            <v>**</v>
          </cell>
          <cell r="O33" t="str">
            <v>**</v>
          </cell>
          <cell r="P33" t="str">
            <v>**</v>
          </cell>
          <cell r="Q33" t="str">
            <v>**</v>
          </cell>
          <cell r="R33" t="str">
            <v>**</v>
          </cell>
          <cell r="S33" t="str">
            <v>**</v>
          </cell>
          <cell r="T33">
            <v>11.48</v>
          </cell>
          <cell r="U33">
            <v>11.48</v>
          </cell>
          <cell r="V33">
            <v>11.48</v>
          </cell>
          <cell r="W33">
            <v>11.48</v>
          </cell>
          <cell r="X33">
            <v>11.48</v>
          </cell>
          <cell r="Y33">
            <v>11.48</v>
          </cell>
        </row>
      </sheetData>
      <sheetData sheetId="12">
        <row r="33">
          <cell r="B33">
            <v>11.48</v>
          </cell>
          <cell r="C33">
            <v>11.48</v>
          </cell>
          <cell r="D33">
            <v>11.48</v>
          </cell>
          <cell r="E33">
            <v>11.48</v>
          </cell>
          <cell r="F33">
            <v>11.48</v>
          </cell>
          <cell r="G33">
            <v>11.48</v>
          </cell>
          <cell r="H33">
            <v>11.48</v>
          </cell>
          <cell r="I33">
            <v>11.48</v>
          </cell>
          <cell r="J33">
            <v>11.48</v>
          </cell>
          <cell r="K33">
            <v>11.48</v>
          </cell>
          <cell r="L33">
            <v>11.48</v>
          </cell>
          <cell r="M33">
            <v>11.48</v>
          </cell>
          <cell r="N33">
            <v>11.48</v>
          </cell>
          <cell r="O33">
            <v>11.48</v>
          </cell>
          <cell r="P33">
            <v>11.48</v>
          </cell>
          <cell r="Q33">
            <v>11.48</v>
          </cell>
          <cell r="R33">
            <v>11.48</v>
          </cell>
          <cell r="S33">
            <v>11.48</v>
          </cell>
          <cell r="T33">
            <v>11.48</v>
          </cell>
          <cell r="U33">
            <v>11.48</v>
          </cell>
          <cell r="V33">
            <v>11.48</v>
          </cell>
          <cell r="W33">
            <v>11.48</v>
          </cell>
          <cell r="X33">
            <v>11.48</v>
          </cell>
          <cell r="Y33">
            <v>11.48</v>
          </cell>
        </row>
      </sheetData>
      <sheetData sheetId="13">
        <row r="33">
          <cell r="B33">
            <v>11.48</v>
          </cell>
          <cell r="C33">
            <v>11.48</v>
          </cell>
          <cell r="D33">
            <v>11.48</v>
          </cell>
          <cell r="E33">
            <v>11.48</v>
          </cell>
          <cell r="F33">
            <v>11.48</v>
          </cell>
          <cell r="G33">
            <v>11.48</v>
          </cell>
          <cell r="H33">
            <v>11.48</v>
          </cell>
          <cell r="I33">
            <v>11.48</v>
          </cell>
          <cell r="J33">
            <v>11.48</v>
          </cell>
          <cell r="K33">
            <v>11.48</v>
          </cell>
          <cell r="L33">
            <v>11.48</v>
          </cell>
          <cell r="M33">
            <v>11.48</v>
          </cell>
          <cell r="N33">
            <v>11.47</v>
          </cell>
          <cell r="O33">
            <v>11.47</v>
          </cell>
          <cell r="P33">
            <v>11.47</v>
          </cell>
          <cell r="Q33">
            <v>11.47</v>
          </cell>
          <cell r="R33">
            <v>11.47</v>
          </cell>
          <cell r="S33">
            <v>11.47</v>
          </cell>
          <cell r="T33">
            <v>11.47</v>
          </cell>
          <cell r="U33">
            <v>11.47</v>
          </cell>
          <cell r="V33">
            <v>11.47</v>
          </cell>
          <cell r="W33">
            <v>11.47</v>
          </cell>
          <cell r="X33">
            <v>11.47</v>
          </cell>
          <cell r="Y33">
            <v>11.47</v>
          </cell>
        </row>
      </sheetData>
      <sheetData sheetId="14">
        <row r="33">
          <cell r="B33">
            <v>11.47</v>
          </cell>
          <cell r="C33">
            <v>11.47</v>
          </cell>
          <cell r="D33">
            <v>11.47</v>
          </cell>
          <cell r="E33">
            <v>11.47</v>
          </cell>
          <cell r="F33">
            <v>11.47</v>
          </cell>
          <cell r="G33">
            <v>11.47</v>
          </cell>
          <cell r="H33">
            <v>11.47</v>
          </cell>
          <cell r="I33">
            <v>11.47</v>
          </cell>
          <cell r="J33">
            <v>11.47</v>
          </cell>
          <cell r="K33">
            <v>11.47</v>
          </cell>
          <cell r="L33">
            <v>11.47</v>
          </cell>
          <cell r="M33">
            <v>11.47</v>
          </cell>
          <cell r="N33">
            <v>11.47</v>
          </cell>
          <cell r="O33">
            <v>11.47</v>
          </cell>
          <cell r="P33">
            <v>11.47</v>
          </cell>
          <cell r="Q33">
            <v>11.47</v>
          </cell>
          <cell r="R33">
            <v>11.47</v>
          </cell>
          <cell r="S33">
            <v>11.47</v>
          </cell>
          <cell r="T33">
            <v>11.47</v>
          </cell>
          <cell r="U33">
            <v>11.47</v>
          </cell>
          <cell r="V33">
            <v>11.47</v>
          </cell>
          <cell r="W33">
            <v>11.47</v>
          </cell>
          <cell r="X33">
            <v>11.47</v>
          </cell>
          <cell r="Y33">
            <v>11.47</v>
          </cell>
        </row>
      </sheetData>
      <sheetData sheetId="15">
        <row r="33">
          <cell r="B33">
            <v>11.47</v>
          </cell>
          <cell r="C33">
            <v>11.47</v>
          </cell>
          <cell r="D33">
            <v>11.47</v>
          </cell>
          <cell r="E33">
            <v>11.47</v>
          </cell>
          <cell r="F33">
            <v>11.47</v>
          </cell>
          <cell r="G33">
            <v>11.47</v>
          </cell>
          <cell r="H33">
            <v>11.47</v>
          </cell>
          <cell r="I33">
            <v>11.47</v>
          </cell>
          <cell r="J33">
            <v>11.47</v>
          </cell>
          <cell r="K33">
            <v>11.47</v>
          </cell>
          <cell r="L33">
            <v>11.47</v>
          </cell>
          <cell r="M33">
            <v>11.47</v>
          </cell>
          <cell r="N33">
            <v>11.47</v>
          </cell>
          <cell r="O33">
            <v>11.47</v>
          </cell>
          <cell r="P33">
            <v>11.47</v>
          </cell>
          <cell r="Q33">
            <v>11.47</v>
          </cell>
          <cell r="R33">
            <v>11.47</v>
          </cell>
          <cell r="S33">
            <v>11.47</v>
          </cell>
          <cell r="T33">
            <v>11.47</v>
          </cell>
          <cell r="U33">
            <v>11.47</v>
          </cell>
          <cell r="V33">
            <v>11.47</v>
          </cell>
          <cell r="W33">
            <v>11.47</v>
          </cell>
          <cell r="X33">
            <v>11.47</v>
          </cell>
          <cell r="Y33">
            <v>11.47</v>
          </cell>
        </row>
      </sheetData>
      <sheetData sheetId="16">
        <row r="33">
          <cell r="B33">
            <v>11.46</v>
          </cell>
          <cell r="C33">
            <v>11.46</v>
          </cell>
          <cell r="D33">
            <v>11.46</v>
          </cell>
          <cell r="E33">
            <v>11.46</v>
          </cell>
          <cell r="F33">
            <v>11.46</v>
          </cell>
          <cell r="G33">
            <v>11.46</v>
          </cell>
          <cell r="H33">
            <v>11.46</v>
          </cell>
          <cell r="I33">
            <v>11.46</v>
          </cell>
          <cell r="J33">
            <v>11.46</v>
          </cell>
          <cell r="K33">
            <v>11.46</v>
          </cell>
          <cell r="L33">
            <v>11.46</v>
          </cell>
          <cell r="M33">
            <v>11.46</v>
          </cell>
          <cell r="N33">
            <v>11.46</v>
          </cell>
          <cell r="O33">
            <v>11.46</v>
          </cell>
          <cell r="P33">
            <v>11.46</v>
          </cell>
          <cell r="Q33">
            <v>11.46</v>
          </cell>
          <cell r="R33">
            <v>11.46</v>
          </cell>
          <cell r="S33">
            <v>11.46</v>
          </cell>
          <cell r="T33">
            <v>11.46</v>
          </cell>
          <cell r="U33">
            <v>11.46</v>
          </cell>
          <cell r="V33">
            <v>11.46</v>
          </cell>
          <cell r="W33">
            <v>11.46</v>
          </cell>
          <cell r="X33">
            <v>11.46</v>
          </cell>
          <cell r="Y33">
            <v>11.46</v>
          </cell>
        </row>
      </sheetData>
      <sheetData sheetId="17">
        <row r="33">
          <cell r="B33">
            <v>11.46</v>
          </cell>
          <cell r="C33">
            <v>11.46</v>
          </cell>
          <cell r="D33">
            <v>11.46</v>
          </cell>
          <cell r="E33">
            <v>11.46</v>
          </cell>
          <cell r="F33">
            <v>11.46</v>
          </cell>
          <cell r="G33">
            <v>11.46</v>
          </cell>
          <cell r="H33">
            <v>11.46</v>
          </cell>
          <cell r="I33">
            <v>11.46</v>
          </cell>
          <cell r="J33">
            <v>11.46</v>
          </cell>
          <cell r="K33">
            <v>11.46</v>
          </cell>
          <cell r="L33">
            <v>11.46</v>
          </cell>
          <cell r="M33">
            <v>11.46</v>
          </cell>
          <cell r="N33">
            <v>11.46</v>
          </cell>
          <cell r="O33">
            <v>11.46</v>
          </cell>
          <cell r="P33">
            <v>11.46</v>
          </cell>
          <cell r="Q33">
            <v>11.46</v>
          </cell>
          <cell r="R33">
            <v>11.46</v>
          </cell>
          <cell r="S33">
            <v>11.46</v>
          </cell>
          <cell r="T33">
            <v>11.46</v>
          </cell>
          <cell r="U33">
            <v>11.46</v>
          </cell>
          <cell r="V33">
            <v>11.46</v>
          </cell>
          <cell r="W33">
            <v>11.46</v>
          </cell>
          <cell r="X33">
            <v>11.46</v>
          </cell>
          <cell r="Y33">
            <v>11.46</v>
          </cell>
        </row>
      </sheetData>
      <sheetData sheetId="18">
        <row r="33">
          <cell r="B33">
            <v>11.46</v>
          </cell>
          <cell r="C33">
            <v>11.46</v>
          </cell>
          <cell r="D33">
            <v>11.46</v>
          </cell>
          <cell r="E33">
            <v>11.46</v>
          </cell>
          <cell r="F33">
            <v>11.46</v>
          </cell>
          <cell r="G33">
            <v>11.46</v>
          </cell>
          <cell r="H33">
            <v>11.46</v>
          </cell>
          <cell r="I33">
            <v>11.46</v>
          </cell>
          <cell r="J33">
            <v>11.46</v>
          </cell>
          <cell r="K33">
            <v>11.46</v>
          </cell>
          <cell r="L33">
            <v>11.46</v>
          </cell>
          <cell r="M33">
            <v>11.46</v>
          </cell>
          <cell r="N33">
            <v>11.46</v>
          </cell>
          <cell r="O33">
            <v>11.46</v>
          </cell>
          <cell r="P33">
            <v>11.46</v>
          </cell>
          <cell r="Q33">
            <v>11.46</v>
          </cell>
          <cell r="R33">
            <v>11.46</v>
          </cell>
          <cell r="S33">
            <v>11.46</v>
          </cell>
          <cell r="T33">
            <v>11.46</v>
          </cell>
          <cell r="U33">
            <v>11.46</v>
          </cell>
          <cell r="V33">
            <v>11.46</v>
          </cell>
          <cell r="W33">
            <v>11.46</v>
          </cell>
          <cell r="X33">
            <v>11.45</v>
          </cell>
          <cell r="Y33">
            <v>11.45</v>
          </cell>
        </row>
      </sheetData>
      <sheetData sheetId="19">
        <row r="33">
          <cell r="B33">
            <v>11.45</v>
          </cell>
          <cell r="C33">
            <v>11.45</v>
          </cell>
          <cell r="D33">
            <v>11.45</v>
          </cell>
          <cell r="E33">
            <v>11.45</v>
          </cell>
          <cell r="F33">
            <v>11.45</v>
          </cell>
          <cell r="G33">
            <v>11.45</v>
          </cell>
          <cell r="H33">
            <v>11.45</v>
          </cell>
          <cell r="I33">
            <v>11.45</v>
          </cell>
          <cell r="J33">
            <v>11.45</v>
          </cell>
          <cell r="K33">
            <v>11.45</v>
          </cell>
          <cell r="L33">
            <v>11.45</v>
          </cell>
          <cell r="M33">
            <v>11.45</v>
          </cell>
          <cell r="N33">
            <v>11.45</v>
          </cell>
          <cell r="O33">
            <v>11.45</v>
          </cell>
          <cell r="P33">
            <v>11.45</v>
          </cell>
          <cell r="Q33">
            <v>11.45</v>
          </cell>
          <cell r="R33">
            <v>11.45</v>
          </cell>
          <cell r="S33">
            <v>11.45</v>
          </cell>
          <cell r="T33">
            <v>11.45</v>
          </cell>
          <cell r="U33">
            <v>11.45</v>
          </cell>
          <cell r="V33">
            <v>11.45</v>
          </cell>
          <cell r="W33">
            <v>11.45</v>
          </cell>
          <cell r="X33">
            <v>11.45</v>
          </cell>
          <cell r="Y33">
            <v>11.45</v>
          </cell>
        </row>
      </sheetData>
      <sheetData sheetId="20">
        <row r="33">
          <cell r="B33">
            <v>11.45</v>
          </cell>
          <cell r="C33">
            <v>11.45</v>
          </cell>
          <cell r="D33">
            <v>11.45</v>
          </cell>
          <cell r="E33">
            <v>11.45</v>
          </cell>
          <cell r="F33">
            <v>11.45</v>
          </cell>
          <cell r="G33">
            <v>11.45</v>
          </cell>
          <cell r="H33">
            <v>11.45</v>
          </cell>
          <cell r="I33">
            <v>11.45</v>
          </cell>
          <cell r="J33">
            <v>11.45</v>
          </cell>
          <cell r="K33">
            <v>11.45</v>
          </cell>
          <cell r="L33">
            <v>11.45</v>
          </cell>
          <cell r="M33">
            <v>11.45</v>
          </cell>
          <cell r="N33">
            <v>11.45</v>
          </cell>
          <cell r="O33">
            <v>11.45</v>
          </cell>
          <cell r="P33">
            <v>11.45</v>
          </cell>
          <cell r="Q33">
            <v>11.45</v>
          </cell>
          <cell r="R33">
            <v>11.45</v>
          </cell>
          <cell r="S33">
            <v>11.45</v>
          </cell>
          <cell r="T33">
            <v>11.45</v>
          </cell>
          <cell r="U33">
            <v>11.45</v>
          </cell>
          <cell r="V33">
            <v>11.45</v>
          </cell>
          <cell r="W33">
            <v>11.45</v>
          </cell>
          <cell r="X33">
            <v>11.45</v>
          </cell>
          <cell r="Y33">
            <v>11.45</v>
          </cell>
        </row>
      </sheetData>
      <sheetData sheetId="21">
        <row r="33">
          <cell r="B33">
            <v>11.45</v>
          </cell>
          <cell r="C33">
            <v>11.45</v>
          </cell>
          <cell r="D33">
            <v>11.45</v>
          </cell>
          <cell r="E33">
            <v>11.45</v>
          </cell>
          <cell r="F33">
            <v>11.45</v>
          </cell>
          <cell r="G33">
            <v>11.45</v>
          </cell>
          <cell r="H33">
            <v>11.45</v>
          </cell>
          <cell r="I33">
            <v>11.52</v>
          </cell>
          <cell r="J33">
            <v>11.72</v>
          </cell>
          <cell r="K33">
            <v>11.72</v>
          </cell>
          <cell r="L33">
            <v>12.02</v>
          </cell>
          <cell r="M33">
            <v>12.09</v>
          </cell>
          <cell r="N33">
            <v>12.54</v>
          </cell>
          <cell r="O33">
            <v>12.77</v>
          </cell>
          <cell r="P33">
            <v>13</v>
          </cell>
          <cell r="Q33">
            <v>13.11</v>
          </cell>
          <cell r="R33">
            <v>13.07</v>
          </cell>
          <cell r="S33">
            <v>13.04</v>
          </cell>
          <cell r="T33">
            <v>12.96</v>
          </cell>
          <cell r="U33">
            <v>12.89</v>
          </cell>
          <cell r="V33">
            <v>12.81</v>
          </cell>
          <cell r="W33">
            <v>12.76</v>
          </cell>
          <cell r="X33">
            <v>12.74</v>
          </cell>
          <cell r="Y33">
            <v>12.73</v>
          </cell>
        </row>
      </sheetData>
      <sheetData sheetId="22">
        <row r="33">
          <cell r="B33">
            <v>12.77</v>
          </cell>
          <cell r="C33">
            <v>12.74</v>
          </cell>
          <cell r="D33">
            <v>12.79</v>
          </cell>
          <cell r="E33">
            <v>13.54</v>
          </cell>
          <cell r="F33">
            <v>13.81</v>
          </cell>
          <cell r="G33">
            <v>13.9</v>
          </cell>
          <cell r="H33">
            <v>13.87</v>
          </cell>
          <cell r="I33">
            <v>13.8</v>
          </cell>
          <cell r="J33">
            <v>13.7</v>
          </cell>
          <cell r="K33">
            <v>13.76</v>
          </cell>
          <cell r="L33">
            <v>13.8</v>
          </cell>
          <cell r="M33">
            <v>13.8</v>
          </cell>
          <cell r="N33">
            <v>13.71</v>
          </cell>
          <cell r="O33">
            <v>13.64</v>
          </cell>
          <cell r="P33">
            <v>13.54</v>
          </cell>
          <cell r="Q33" t="str">
            <v>**</v>
          </cell>
          <cell r="R33">
            <v>13.42</v>
          </cell>
          <cell r="S33">
            <v>13.36</v>
          </cell>
          <cell r="T33">
            <v>13.27</v>
          </cell>
          <cell r="U33">
            <v>13.49</v>
          </cell>
          <cell r="V33">
            <v>14.18</v>
          </cell>
          <cell r="W33">
            <v>15.18</v>
          </cell>
          <cell r="X33">
            <v>15.88</v>
          </cell>
          <cell r="Y33">
            <v>16.190000000000001</v>
          </cell>
        </row>
      </sheetData>
      <sheetData sheetId="23">
        <row r="33">
          <cell r="B33">
            <v>16.7</v>
          </cell>
          <cell r="C33">
            <v>17.45</v>
          </cell>
          <cell r="D33">
            <v>17.920000000000002</v>
          </cell>
          <cell r="E33">
            <v>18.62</v>
          </cell>
          <cell r="F33" t="str">
            <v xml:space="preserve">                                                                 </v>
          </cell>
          <cell r="G33">
            <v>19.45</v>
          </cell>
          <cell r="H33">
            <v>19.82</v>
          </cell>
          <cell r="I33">
            <v>19.97</v>
          </cell>
          <cell r="J33">
            <v>20.100000000000001</v>
          </cell>
          <cell r="K33">
            <v>20.02</v>
          </cell>
          <cell r="L33">
            <v>19.38</v>
          </cell>
          <cell r="M33">
            <v>19.38</v>
          </cell>
          <cell r="N33">
            <v>18.899999999999999</v>
          </cell>
          <cell r="O33">
            <v>18.34</v>
          </cell>
          <cell r="P33">
            <v>17.75</v>
          </cell>
          <cell r="Q33">
            <v>17.21</v>
          </cell>
          <cell r="R33">
            <v>16.7</v>
          </cell>
          <cell r="S33">
            <v>16.21</v>
          </cell>
          <cell r="T33">
            <v>15.89</v>
          </cell>
          <cell r="U33">
            <v>15.6</v>
          </cell>
          <cell r="V33">
            <v>15.93</v>
          </cell>
          <cell r="W33">
            <v>15.29</v>
          </cell>
          <cell r="X33">
            <v>15.12</v>
          </cell>
          <cell r="Y33">
            <v>15.1</v>
          </cell>
        </row>
      </sheetData>
      <sheetData sheetId="24">
        <row r="33">
          <cell r="B33">
            <v>15.03</v>
          </cell>
          <cell r="C33">
            <v>14.97</v>
          </cell>
          <cell r="D33">
            <v>14.89</v>
          </cell>
          <cell r="E33">
            <v>14.81</v>
          </cell>
          <cell r="F33">
            <v>14.7</v>
          </cell>
          <cell r="G33">
            <v>14.65</v>
          </cell>
          <cell r="H33">
            <v>14.58</v>
          </cell>
          <cell r="I33">
            <v>14.53</v>
          </cell>
          <cell r="J33">
            <v>14.46</v>
          </cell>
          <cell r="K33">
            <v>14.42</v>
          </cell>
          <cell r="L33">
            <v>14.37</v>
          </cell>
          <cell r="M33">
            <v>14.34</v>
          </cell>
          <cell r="N33">
            <v>14.31</v>
          </cell>
          <cell r="O33">
            <v>14.27</v>
          </cell>
          <cell r="P33">
            <v>14.22</v>
          </cell>
          <cell r="Q33">
            <v>14.18</v>
          </cell>
          <cell r="R33">
            <v>14.17</v>
          </cell>
          <cell r="S33">
            <v>14.17</v>
          </cell>
          <cell r="T33">
            <v>14.1</v>
          </cell>
          <cell r="U33">
            <v>14.06</v>
          </cell>
          <cell r="V33">
            <v>14.04</v>
          </cell>
          <cell r="W33">
            <v>14.02</v>
          </cell>
          <cell r="X33">
            <v>14</v>
          </cell>
          <cell r="Y33">
            <v>13.99</v>
          </cell>
        </row>
      </sheetData>
      <sheetData sheetId="25">
        <row r="33">
          <cell r="B33">
            <v>13.97</v>
          </cell>
          <cell r="C33">
            <v>13.97</v>
          </cell>
          <cell r="D33">
            <v>13.99</v>
          </cell>
          <cell r="E33">
            <v>13.97</v>
          </cell>
          <cell r="F33">
            <v>13.95</v>
          </cell>
          <cell r="G33">
            <v>13.93</v>
          </cell>
          <cell r="H33">
            <v>13.91</v>
          </cell>
          <cell r="I33">
            <v>13.88</v>
          </cell>
          <cell r="J33">
            <v>13.86</v>
          </cell>
          <cell r="K33">
            <v>13.84</v>
          </cell>
          <cell r="L33">
            <v>13.82</v>
          </cell>
          <cell r="M33">
            <v>13.8</v>
          </cell>
          <cell r="N33">
            <v>13.77</v>
          </cell>
          <cell r="O33">
            <v>13.76</v>
          </cell>
          <cell r="P33" t="str">
            <v>**</v>
          </cell>
          <cell r="Q33">
            <v>13.73</v>
          </cell>
          <cell r="R33">
            <v>13.72</v>
          </cell>
          <cell r="S33" t="str">
            <v>**</v>
          </cell>
          <cell r="T33" t="str">
            <v>**</v>
          </cell>
          <cell r="U33" t="str">
            <v>**</v>
          </cell>
          <cell r="V33">
            <v>13.66</v>
          </cell>
          <cell r="W33" t="str">
            <v>**</v>
          </cell>
          <cell r="X33">
            <v>13.63</v>
          </cell>
          <cell r="Y33">
            <v>13.62</v>
          </cell>
        </row>
      </sheetData>
      <sheetData sheetId="26">
        <row r="33">
          <cell r="B33">
            <v>13.6</v>
          </cell>
          <cell r="C33">
            <v>13.59</v>
          </cell>
          <cell r="D33">
            <v>13.58</v>
          </cell>
          <cell r="E33">
            <v>13.57</v>
          </cell>
          <cell r="F33">
            <v>13.55</v>
          </cell>
          <cell r="G33">
            <v>13.55</v>
          </cell>
          <cell r="H33">
            <v>13.55</v>
          </cell>
          <cell r="I33">
            <v>13.52</v>
          </cell>
          <cell r="J33" t="str">
            <v>**</v>
          </cell>
          <cell r="K33" t="str">
            <v>**</v>
          </cell>
          <cell r="L33" t="str">
            <v>**</v>
          </cell>
          <cell r="M33" t="str">
            <v>**</v>
          </cell>
          <cell r="N33" t="str">
            <v>**</v>
          </cell>
          <cell r="O33" t="str">
            <v>**</v>
          </cell>
          <cell r="P33" t="str">
            <v>**</v>
          </cell>
          <cell r="Q33" t="str">
            <v>**</v>
          </cell>
          <cell r="R33" t="str">
            <v>**</v>
          </cell>
          <cell r="S33" t="str">
            <v>**</v>
          </cell>
          <cell r="T33" t="str">
            <v>**</v>
          </cell>
          <cell r="U33" t="str">
            <v>**</v>
          </cell>
          <cell r="V33" t="str">
            <v>**</v>
          </cell>
          <cell r="W33">
            <v>13.32</v>
          </cell>
          <cell r="X33">
            <v>13.32</v>
          </cell>
          <cell r="Y33" t="str">
            <v>**</v>
          </cell>
        </row>
      </sheetData>
      <sheetData sheetId="27">
        <row r="33">
          <cell r="B33">
            <v>13.28</v>
          </cell>
          <cell r="C33">
            <v>13.28</v>
          </cell>
          <cell r="D33">
            <v>13.26</v>
          </cell>
          <cell r="E33">
            <v>13.25</v>
          </cell>
          <cell r="F33" t="str">
            <v>**</v>
          </cell>
          <cell r="G33" t="str">
            <v>**</v>
          </cell>
          <cell r="H33" t="str">
            <v>**</v>
          </cell>
          <cell r="I33">
            <v>13.54</v>
          </cell>
          <cell r="J33">
            <v>13.56</v>
          </cell>
          <cell r="K33">
            <v>13.55</v>
          </cell>
          <cell r="L33">
            <v>13.55</v>
          </cell>
          <cell r="M33">
            <v>13.51</v>
          </cell>
          <cell r="N33">
            <v>13.45</v>
          </cell>
          <cell r="O33">
            <v>13.38</v>
          </cell>
          <cell r="P33">
            <v>13.32</v>
          </cell>
          <cell r="Q33">
            <v>13.26</v>
          </cell>
          <cell r="R33">
            <v>13.21</v>
          </cell>
          <cell r="S33">
            <v>13.19</v>
          </cell>
          <cell r="T33" t="str">
            <v>**</v>
          </cell>
          <cell r="U33">
            <v>13.15</v>
          </cell>
          <cell r="V33">
            <v>13.11</v>
          </cell>
          <cell r="W33">
            <v>13.09</v>
          </cell>
          <cell r="X33">
            <v>13.06</v>
          </cell>
          <cell r="Y33">
            <v>13.07</v>
          </cell>
        </row>
      </sheetData>
      <sheetData sheetId="28">
        <row r="33">
          <cell r="B33">
            <v>13.03</v>
          </cell>
          <cell r="C33">
            <v>13.01</v>
          </cell>
          <cell r="D33">
            <v>12.99</v>
          </cell>
          <cell r="E33">
            <v>12.99</v>
          </cell>
          <cell r="F33">
            <v>12.96</v>
          </cell>
          <cell r="G33">
            <v>12.95</v>
          </cell>
          <cell r="H33">
            <v>12.93</v>
          </cell>
          <cell r="I33">
            <v>12.92</v>
          </cell>
          <cell r="J33">
            <v>12.89</v>
          </cell>
          <cell r="K33">
            <v>12.87</v>
          </cell>
          <cell r="L33">
            <v>12.85</v>
          </cell>
          <cell r="M33">
            <v>12.82</v>
          </cell>
          <cell r="N33">
            <v>12.79</v>
          </cell>
          <cell r="O33">
            <v>12.78</v>
          </cell>
          <cell r="P33">
            <v>12.76</v>
          </cell>
          <cell r="Q33">
            <v>12.74</v>
          </cell>
          <cell r="R33">
            <v>12.79</v>
          </cell>
          <cell r="S33">
            <v>12.69</v>
          </cell>
          <cell r="T33">
            <v>12.68</v>
          </cell>
          <cell r="U33">
            <v>12.65</v>
          </cell>
          <cell r="V33">
            <v>12.63</v>
          </cell>
          <cell r="W33">
            <v>12.6</v>
          </cell>
          <cell r="X33">
            <v>12.59</v>
          </cell>
          <cell r="Y33">
            <v>12.57</v>
          </cell>
        </row>
      </sheetData>
      <sheetData sheetId="29">
        <row r="33">
          <cell r="B33">
            <v>12.55</v>
          </cell>
          <cell r="C33">
            <v>12.51</v>
          </cell>
          <cell r="D33">
            <v>12.5</v>
          </cell>
          <cell r="E33">
            <v>12.47</v>
          </cell>
          <cell r="F33">
            <v>12.44</v>
          </cell>
          <cell r="G33">
            <v>12.43</v>
          </cell>
          <cell r="H33">
            <v>12.41</v>
          </cell>
          <cell r="I33">
            <v>12.38</v>
          </cell>
          <cell r="J33">
            <v>12.34</v>
          </cell>
          <cell r="K33">
            <v>12.32</v>
          </cell>
          <cell r="L33">
            <v>12.3</v>
          </cell>
          <cell r="M33">
            <v>12.29</v>
          </cell>
          <cell r="N33">
            <v>12.27</v>
          </cell>
          <cell r="O33">
            <v>12.45</v>
          </cell>
          <cell r="P33">
            <v>12.45</v>
          </cell>
          <cell r="Q33">
            <v>12.41</v>
          </cell>
          <cell r="R33">
            <v>12.39</v>
          </cell>
          <cell r="S33">
            <v>12.35</v>
          </cell>
          <cell r="T33">
            <v>12.27</v>
          </cell>
          <cell r="U33">
            <v>12.22</v>
          </cell>
          <cell r="V33">
            <v>12.2</v>
          </cell>
          <cell r="W33">
            <v>12.17</v>
          </cell>
          <cell r="X33">
            <v>12.14</v>
          </cell>
          <cell r="Y33">
            <v>12.13</v>
          </cell>
        </row>
      </sheetData>
      <sheetData sheetId="30">
        <row r="33">
          <cell r="B33">
            <v>12.1</v>
          </cell>
          <cell r="C33">
            <v>12.1</v>
          </cell>
          <cell r="D33">
            <v>12.08</v>
          </cell>
          <cell r="E33">
            <v>12.07</v>
          </cell>
          <cell r="F33">
            <v>12.05</v>
          </cell>
          <cell r="G33">
            <v>12.04</v>
          </cell>
          <cell r="H33">
            <v>12.04</v>
          </cell>
          <cell r="I33">
            <v>12.02</v>
          </cell>
          <cell r="J33">
            <v>12.02</v>
          </cell>
          <cell r="K33">
            <v>11.99</v>
          </cell>
          <cell r="L33">
            <v>11.98</v>
          </cell>
          <cell r="M33">
            <v>11.99</v>
          </cell>
          <cell r="N33">
            <v>12</v>
          </cell>
          <cell r="O33">
            <v>11.98</v>
          </cell>
          <cell r="P33">
            <v>11.98</v>
          </cell>
          <cell r="Q33">
            <v>11.97</v>
          </cell>
          <cell r="R33">
            <v>11.96</v>
          </cell>
          <cell r="S33">
            <v>11.95</v>
          </cell>
          <cell r="T33">
            <v>11.95</v>
          </cell>
          <cell r="U33">
            <v>11.984999999999999</v>
          </cell>
          <cell r="V33">
            <v>11.95</v>
          </cell>
          <cell r="W33">
            <v>11.94</v>
          </cell>
          <cell r="X33">
            <v>11.92</v>
          </cell>
          <cell r="Y33">
            <v>11.94</v>
          </cell>
        </row>
      </sheetData>
      <sheetData sheetId="31"/>
      <sheetData sheetId="32"/>
      <sheetData sheetId="33"/>
      <sheetData sheetId="34"/>
      <sheetData sheetId="35"/>
      <sheetData sheetId="36"/>
      <sheetData sheetId="37"/>
      <sheetData sheetId="38">
        <row r="6">
          <cell r="A6">
            <v>1</v>
          </cell>
          <cell r="AB6">
            <v>11.48</v>
          </cell>
          <cell r="AC6">
            <v>11.47</v>
          </cell>
        </row>
        <row r="7">
          <cell r="A7">
            <v>2</v>
          </cell>
          <cell r="AB7">
            <v>11.5</v>
          </cell>
          <cell r="AC7">
            <v>11.47</v>
          </cell>
        </row>
        <row r="8">
          <cell r="A8">
            <v>3</v>
          </cell>
          <cell r="AB8">
            <v>11.5</v>
          </cell>
          <cell r="AC8">
            <v>11.49</v>
          </cell>
        </row>
        <row r="9">
          <cell r="A9">
            <v>4</v>
          </cell>
          <cell r="AB9">
            <v>11.49</v>
          </cell>
          <cell r="AC9">
            <v>11.49</v>
          </cell>
        </row>
        <row r="10">
          <cell r="A10">
            <v>5</v>
          </cell>
          <cell r="AB10">
            <v>11.49</v>
          </cell>
          <cell r="AC10">
            <v>11.48</v>
          </cell>
        </row>
        <row r="11">
          <cell r="A11">
            <v>6</v>
          </cell>
          <cell r="AB11">
            <v>11.48</v>
          </cell>
          <cell r="AC11">
            <v>11.48</v>
          </cell>
        </row>
        <row r="12">
          <cell r="A12">
            <v>7</v>
          </cell>
          <cell r="AB12">
            <v>11.48</v>
          </cell>
          <cell r="AC12">
            <v>11.48</v>
          </cell>
        </row>
        <row r="13">
          <cell r="A13">
            <v>8</v>
          </cell>
          <cell r="AB13">
            <v>11.87</v>
          </cell>
          <cell r="AC13">
            <v>11.47</v>
          </cell>
        </row>
        <row r="14">
          <cell r="A14">
            <v>9</v>
          </cell>
          <cell r="AB14">
            <v>11.49</v>
          </cell>
          <cell r="AC14">
            <v>11.49</v>
          </cell>
        </row>
        <row r="15">
          <cell r="A15">
            <v>10</v>
          </cell>
          <cell r="AB15">
            <v>11.49</v>
          </cell>
          <cell r="AC15">
            <v>11.49</v>
          </cell>
        </row>
        <row r="16">
          <cell r="A16">
            <v>11</v>
          </cell>
          <cell r="AB16">
            <v>11.49</v>
          </cell>
          <cell r="AC16">
            <v>11.49</v>
          </cell>
        </row>
        <row r="17">
          <cell r="A17">
            <v>12</v>
          </cell>
          <cell r="AB17">
            <v>11.48</v>
          </cell>
          <cell r="AC17">
            <v>11.48</v>
          </cell>
        </row>
        <row r="18">
          <cell r="A18">
            <v>13</v>
          </cell>
          <cell r="AB18">
            <v>11.48</v>
          </cell>
          <cell r="AC18">
            <v>11.48</v>
          </cell>
        </row>
        <row r="19">
          <cell r="A19">
            <v>14</v>
          </cell>
          <cell r="AB19">
            <v>11.48</v>
          </cell>
          <cell r="AC19">
            <v>11.47</v>
          </cell>
        </row>
        <row r="20">
          <cell r="A20">
            <v>15</v>
          </cell>
          <cell r="AB20">
            <v>11.47</v>
          </cell>
          <cell r="AC20">
            <v>11.47</v>
          </cell>
        </row>
        <row r="21">
          <cell r="A21">
            <v>16</v>
          </cell>
          <cell r="AB21">
            <v>11.47</v>
          </cell>
          <cell r="AC21">
            <v>11.47</v>
          </cell>
        </row>
        <row r="22">
          <cell r="A22">
            <v>17</v>
          </cell>
          <cell r="AB22">
            <v>11.46</v>
          </cell>
          <cell r="AC22">
            <v>11.46</v>
          </cell>
        </row>
        <row r="23">
          <cell r="A23">
            <v>18</v>
          </cell>
          <cell r="AB23">
            <v>11.46</v>
          </cell>
          <cell r="AC23">
            <v>11.46</v>
          </cell>
        </row>
        <row r="24">
          <cell r="A24">
            <v>19</v>
          </cell>
          <cell r="AB24">
            <v>11.46</v>
          </cell>
          <cell r="AC24">
            <v>11.45</v>
          </cell>
        </row>
        <row r="25">
          <cell r="A25">
            <v>20</v>
          </cell>
          <cell r="AB25">
            <v>11.45</v>
          </cell>
          <cell r="AC25">
            <v>11.45</v>
          </cell>
        </row>
        <row r="26">
          <cell r="A26">
            <v>21</v>
          </cell>
          <cell r="AB26">
            <v>11.45</v>
          </cell>
          <cell r="AC26">
            <v>11.45</v>
          </cell>
        </row>
        <row r="27">
          <cell r="A27">
            <v>22</v>
          </cell>
          <cell r="AB27">
            <v>13.11</v>
          </cell>
          <cell r="AC27">
            <v>11.45</v>
          </cell>
        </row>
        <row r="28">
          <cell r="A28">
            <v>23</v>
          </cell>
          <cell r="AB28">
            <v>16.190000000000001</v>
          </cell>
          <cell r="AC28">
            <v>12.74</v>
          </cell>
        </row>
        <row r="29">
          <cell r="A29">
            <v>24</v>
          </cell>
          <cell r="AB29">
            <v>20.100000000000001</v>
          </cell>
          <cell r="AC29">
            <v>15.1</v>
          </cell>
        </row>
        <row r="30">
          <cell r="A30">
            <v>25</v>
          </cell>
          <cell r="AB30">
            <v>15.03</v>
          </cell>
          <cell r="AC30">
            <v>13.99</v>
          </cell>
        </row>
        <row r="31">
          <cell r="A31">
            <v>26</v>
          </cell>
          <cell r="AB31">
            <v>13.99</v>
          </cell>
          <cell r="AC31">
            <v>13.62</v>
          </cell>
        </row>
        <row r="32">
          <cell r="A32">
            <v>27</v>
          </cell>
          <cell r="AB32">
            <v>13.6</v>
          </cell>
          <cell r="AC32">
            <v>13.32</v>
          </cell>
        </row>
        <row r="33">
          <cell r="A33">
            <v>28</v>
          </cell>
          <cell r="AB33">
            <v>13.56</v>
          </cell>
          <cell r="AC33">
            <v>13.06</v>
          </cell>
        </row>
        <row r="34">
          <cell r="A34">
            <v>29</v>
          </cell>
          <cell r="AB34">
            <v>13.03</v>
          </cell>
          <cell r="AC34">
            <v>12.57</v>
          </cell>
        </row>
        <row r="35">
          <cell r="A35">
            <v>30</v>
          </cell>
          <cell r="AB35">
            <v>12.55</v>
          </cell>
          <cell r="AC35">
            <v>12.13</v>
          </cell>
        </row>
        <row r="36">
          <cell r="A36">
            <v>31</v>
          </cell>
          <cell r="AB36">
            <v>12.1</v>
          </cell>
          <cell r="AC36">
            <v>11.92</v>
          </cell>
        </row>
        <row r="37">
          <cell r="A37" t="str">
            <v>AVE.</v>
          </cell>
        </row>
        <row r="38">
          <cell r="A38" t="str">
            <v>*PTA</v>
          </cell>
        </row>
      </sheetData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26DA78-5CB9-4813-8EBC-2FE87743BEA5}">
  <dimension ref="A1:AP39"/>
  <sheetViews>
    <sheetView tabSelected="1" zoomScaleNormal="100" zoomScaleSheetLayoutView="85" workbookViewId="0">
      <pane xSplit="1" ySplit="5" topLeftCell="K10" activePane="bottomRight" state="frozen"/>
      <selection activeCell="AB38" sqref="AB38:AC38"/>
      <selection pane="topRight" activeCell="AB38" sqref="AB38:AC38"/>
      <selection pane="bottomLeft" activeCell="AB38" sqref="AB38:AC38"/>
      <selection pane="bottomRight" activeCell="AC24" sqref="AC24"/>
    </sheetView>
  </sheetViews>
  <sheetFormatPr defaultRowHeight="13.2" x14ac:dyDescent="0.25"/>
  <cols>
    <col min="1" max="1" width="6.33203125" style="5" customWidth="1"/>
    <col min="2" max="25" width="5.88671875" style="5" customWidth="1"/>
    <col min="26" max="26" width="7.33203125" style="5" customWidth="1"/>
    <col min="27" max="27" width="6.5546875" style="5" customWidth="1"/>
    <col min="28" max="254" width="8.88671875" style="5"/>
    <col min="255" max="255" width="6.33203125" style="5" customWidth="1"/>
    <col min="256" max="279" width="5.88671875" style="5" customWidth="1"/>
    <col min="280" max="280" width="7.33203125" style="5" customWidth="1"/>
    <col min="281" max="510" width="8.88671875" style="5"/>
    <col min="511" max="511" width="6.33203125" style="5" customWidth="1"/>
    <col min="512" max="535" width="5.88671875" style="5" customWidth="1"/>
    <col min="536" max="536" width="7.33203125" style="5" customWidth="1"/>
    <col min="537" max="766" width="8.88671875" style="5"/>
    <col min="767" max="767" width="6.33203125" style="5" customWidth="1"/>
    <col min="768" max="791" width="5.88671875" style="5" customWidth="1"/>
    <col min="792" max="792" width="7.33203125" style="5" customWidth="1"/>
    <col min="793" max="1022" width="8.88671875" style="5"/>
    <col min="1023" max="1023" width="6.33203125" style="5" customWidth="1"/>
    <col min="1024" max="1047" width="5.88671875" style="5" customWidth="1"/>
    <col min="1048" max="1048" width="7.33203125" style="5" customWidth="1"/>
    <col min="1049" max="1278" width="8.88671875" style="5"/>
    <col min="1279" max="1279" width="6.33203125" style="5" customWidth="1"/>
    <col min="1280" max="1303" width="5.88671875" style="5" customWidth="1"/>
    <col min="1304" max="1304" width="7.33203125" style="5" customWidth="1"/>
    <col min="1305" max="1534" width="8.88671875" style="5"/>
    <col min="1535" max="1535" width="6.33203125" style="5" customWidth="1"/>
    <col min="1536" max="1559" width="5.88671875" style="5" customWidth="1"/>
    <col min="1560" max="1560" width="7.33203125" style="5" customWidth="1"/>
    <col min="1561" max="1790" width="8.88671875" style="5"/>
    <col min="1791" max="1791" width="6.33203125" style="5" customWidth="1"/>
    <col min="1792" max="1815" width="5.88671875" style="5" customWidth="1"/>
    <col min="1816" max="1816" width="7.33203125" style="5" customWidth="1"/>
    <col min="1817" max="2046" width="8.88671875" style="5"/>
    <col min="2047" max="2047" width="6.33203125" style="5" customWidth="1"/>
    <col min="2048" max="2071" width="5.88671875" style="5" customWidth="1"/>
    <col min="2072" max="2072" width="7.33203125" style="5" customWidth="1"/>
    <col min="2073" max="2302" width="8.88671875" style="5"/>
    <col min="2303" max="2303" width="6.33203125" style="5" customWidth="1"/>
    <col min="2304" max="2327" width="5.88671875" style="5" customWidth="1"/>
    <col min="2328" max="2328" width="7.33203125" style="5" customWidth="1"/>
    <col min="2329" max="2558" width="8.88671875" style="5"/>
    <col min="2559" max="2559" width="6.33203125" style="5" customWidth="1"/>
    <col min="2560" max="2583" width="5.88671875" style="5" customWidth="1"/>
    <col min="2584" max="2584" width="7.33203125" style="5" customWidth="1"/>
    <col min="2585" max="2814" width="8.88671875" style="5"/>
    <col min="2815" max="2815" width="6.33203125" style="5" customWidth="1"/>
    <col min="2816" max="2839" width="5.88671875" style="5" customWidth="1"/>
    <col min="2840" max="2840" width="7.33203125" style="5" customWidth="1"/>
    <col min="2841" max="3070" width="8.88671875" style="5"/>
    <col min="3071" max="3071" width="6.33203125" style="5" customWidth="1"/>
    <col min="3072" max="3095" width="5.88671875" style="5" customWidth="1"/>
    <col min="3096" max="3096" width="7.33203125" style="5" customWidth="1"/>
    <col min="3097" max="3326" width="8.88671875" style="5"/>
    <col min="3327" max="3327" width="6.33203125" style="5" customWidth="1"/>
    <col min="3328" max="3351" width="5.88671875" style="5" customWidth="1"/>
    <col min="3352" max="3352" width="7.33203125" style="5" customWidth="1"/>
    <col min="3353" max="3582" width="8.88671875" style="5"/>
    <col min="3583" max="3583" width="6.33203125" style="5" customWidth="1"/>
    <col min="3584" max="3607" width="5.88671875" style="5" customWidth="1"/>
    <col min="3608" max="3608" width="7.33203125" style="5" customWidth="1"/>
    <col min="3609" max="3838" width="8.88671875" style="5"/>
    <col min="3839" max="3839" width="6.33203125" style="5" customWidth="1"/>
    <col min="3840" max="3863" width="5.88671875" style="5" customWidth="1"/>
    <col min="3864" max="3864" width="7.33203125" style="5" customWidth="1"/>
    <col min="3865" max="4094" width="8.88671875" style="5"/>
    <col min="4095" max="4095" width="6.33203125" style="5" customWidth="1"/>
    <col min="4096" max="4119" width="5.88671875" style="5" customWidth="1"/>
    <col min="4120" max="4120" width="7.33203125" style="5" customWidth="1"/>
    <col min="4121" max="4350" width="8.88671875" style="5"/>
    <col min="4351" max="4351" width="6.33203125" style="5" customWidth="1"/>
    <col min="4352" max="4375" width="5.88671875" style="5" customWidth="1"/>
    <col min="4376" max="4376" width="7.33203125" style="5" customWidth="1"/>
    <col min="4377" max="4606" width="8.88671875" style="5"/>
    <col min="4607" max="4607" width="6.33203125" style="5" customWidth="1"/>
    <col min="4608" max="4631" width="5.88671875" style="5" customWidth="1"/>
    <col min="4632" max="4632" width="7.33203125" style="5" customWidth="1"/>
    <col min="4633" max="4862" width="8.88671875" style="5"/>
    <col min="4863" max="4863" width="6.33203125" style="5" customWidth="1"/>
    <col min="4864" max="4887" width="5.88671875" style="5" customWidth="1"/>
    <col min="4888" max="4888" width="7.33203125" style="5" customWidth="1"/>
    <col min="4889" max="5118" width="8.88671875" style="5"/>
    <col min="5119" max="5119" width="6.33203125" style="5" customWidth="1"/>
    <col min="5120" max="5143" width="5.88671875" style="5" customWidth="1"/>
    <col min="5144" max="5144" width="7.33203125" style="5" customWidth="1"/>
    <col min="5145" max="5374" width="8.88671875" style="5"/>
    <col min="5375" max="5375" width="6.33203125" style="5" customWidth="1"/>
    <col min="5376" max="5399" width="5.88671875" style="5" customWidth="1"/>
    <col min="5400" max="5400" width="7.33203125" style="5" customWidth="1"/>
    <col min="5401" max="5630" width="8.88671875" style="5"/>
    <col min="5631" max="5631" width="6.33203125" style="5" customWidth="1"/>
    <col min="5632" max="5655" width="5.88671875" style="5" customWidth="1"/>
    <col min="5656" max="5656" width="7.33203125" style="5" customWidth="1"/>
    <col min="5657" max="5886" width="8.88671875" style="5"/>
    <col min="5887" max="5887" width="6.33203125" style="5" customWidth="1"/>
    <col min="5888" max="5911" width="5.88671875" style="5" customWidth="1"/>
    <col min="5912" max="5912" width="7.33203125" style="5" customWidth="1"/>
    <col min="5913" max="6142" width="8.88671875" style="5"/>
    <col min="6143" max="6143" width="6.33203125" style="5" customWidth="1"/>
    <col min="6144" max="6167" width="5.88671875" style="5" customWidth="1"/>
    <col min="6168" max="6168" width="7.33203125" style="5" customWidth="1"/>
    <col min="6169" max="6398" width="8.88671875" style="5"/>
    <col min="6399" max="6399" width="6.33203125" style="5" customWidth="1"/>
    <col min="6400" max="6423" width="5.88671875" style="5" customWidth="1"/>
    <col min="6424" max="6424" width="7.33203125" style="5" customWidth="1"/>
    <col min="6425" max="6654" width="8.88671875" style="5"/>
    <col min="6655" max="6655" width="6.33203125" style="5" customWidth="1"/>
    <col min="6656" max="6679" width="5.88671875" style="5" customWidth="1"/>
    <col min="6680" max="6680" width="7.33203125" style="5" customWidth="1"/>
    <col min="6681" max="6910" width="8.88671875" style="5"/>
    <col min="6911" max="6911" width="6.33203125" style="5" customWidth="1"/>
    <col min="6912" max="6935" width="5.88671875" style="5" customWidth="1"/>
    <col min="6936" max="6936" width="7.33203125" style="5" customWidth="1"/>
    <col min="6937" max="7166" width="8.88671875" style="5"/>
    <col min="7167" max="7167" width="6.33203125" style="5" customWidth="1"/>
    <col min="7168" max="7191" width="5.88671875" style="5" customWidth="1"/>
    <col min="7192" max="7192" width="7.33203125" style="5" customWidth="1"/>
    <col min="7193" max="7422" width="8.88671875" style="5"/>
    <col min="7423" max="7423" width="6.33203125" style="5" customWidth="1"/>
    <col min="7424" max="7447" width="5.88671875" style="5" customWidth="1"/>
    <col min="7448" max="7448" width="7.33203125" style="5" customWidth="1"/>
    <col min="7449" max="7678" width="8.88671875" style="5"/>
    <col min="7679" max="7679" width="6.33203125" style="5" customWidth="1"/>
    <col min="7680" max="7703" width="5.88671875" style="5" customWidth="1"/>
    <col min="7704" max="7704" width="7.33203125" style="5" customWidth="1"/>
    <col min="7705" max="7934" width="8.88671875" style="5"/>
    <col min="7935" max="7935" width="6.33203125" style="5" customWidth="1"/>
    <col min="7936" max="7959" width="5.88671875" style="5" customWidth="1"/>
    <col min="7960" max="7960" width="7.33203125" style="5" customWidth="1"/>
    <col min="7961" max="8190" width="8.88671875" style="5"/>
    <col min="8191" max="8191" width="6.33203125" style="5" customWidth="1"/>
    <col min="8192" max="8215" width="5.88671875" style="5" customWidth="1"/>
    <col min="8216" max="8216" width="7.33203125" style="5" customWidth="1"/>
    <col min="8217" max="8446" width="8.88671875" style="5"/>
    <col min="8447" max="8447" width="6.33203125" style="5" customWidth="1"/>
    <col min="8448" max="8471" width="5.88671875" style="5" customWidth="1"/>
    <col min="8472" max="8472" width="7.33203125" style="5" customWidth="1"/>
    <col min="8473" max="8702" width="8.88671875" style="5"/>
    <col min="8703" max="8703" width="6.33203125" style="5" customWidth="1"/>
    <col min="8704" max="8727" width="5.88671875" style="5" customWidth="1"/>
    <col min="8728" max="8728" width="7.33203125" style="5" customWidth="1"/>
    <col min="8729" max="8958" width="8.88671875" style="5"/>
    <col min="8959" max="8959" width="6.33203125" style="5" customWidth="1"/>
    <col min="8960" max="8983" width="5.88671875" style="5" customWidth="1"/>
    <col min="8984" max="8984" width="7.33203125" style="5" customWidth="1"/>
    <col min="8985" max="9214" width="8.88671875" style="5"/>
    <col min="9215" max="9215" width="6.33203125" style="5" customWidth="1"/>
    <col min="9216" max="9239" width="5.88671875" style="5" customWidth="1"/>
    <col min="9240" max="9240" width="7.33203125" style="5" customWidth="1"/>
    <col min="9241" max="9470" width="8.88671875" style="5"/>
    <col min="9471" max="9471" width="6.33203125" style="5" customWidth="1"/>
    <col min="9472" max="9495" width="5.88671875" style="5" customWidth="1"/>
    <col min="9496" max="9496" width="7.33203125" style="5" customWidth="1"/>
    <col min="9497" max="9726" width="8.88671875" style="5"/>
    <col min="9727" max="9727" width="6.33203125" style="5" customWidth="1"/>
    <col min="9728" max="9751" width="5.88671875" style="5" customWidth="1"/>
    <col min="9752" max="9752" width="7.33203125" style="5" customWidth="1"/>
    <col min="9753" max="9982" width="8.88671875" style="5"/>
    <col min="9983" max="9983" width="6.33203125" style="5" customWidth="1"/>
    <col min="9984" max="10007" width="5.88671875" style="5" customWidth="1"/>
    <col min="10008" max="10008" width="7.33203125" style="5" customWidth="1"/>
    <col min="10009" max="10238" width="8.88671875" style="5"/>
    <col min="10239" max="10239" width="6.33203125" style="5" customWidth="1"/>
    <col min="10240" max="10263" width="5.88671875" style="5" customWidth="1"/>
    <col min="10264" max="10264" width="7.33203125" style="5" customWidth="1"/>
    <col min="10265" max="10494" width="8.88671875" style="5"/>
    <col min="10495" max="10495" width="6.33203125" style="5" customWidth="1"/>
    <col min="10496" max="10519" width="5.88671875" style="5" customWidth="1"/>
    <col min="10520" max="10520" width="7.33203125" style="5" customWidth="1"/>
    <col min="10521" max="10750" width="8.88671875" style="5"/>
    <col min="10751" max="10751" width="6.33203125" style="5" customWidth="1"/>
    <col min="10752" max="10775" width="5.88671875" style="5" customWidth="1"/>
    <col min="10776" max="10776" width="7.33203125" style="5" customWidth="1"/>
    <col min="10777" max="11006" width="8.88671875" style="5"/>
    <col min="11007" max="11007" width="6.33203125" style="5" customWidth="1"/>
    <col min="11008" max="11031" width="5.88671875" style="5" customWidth="1"/>
    <col min="11032" max="11032" width="7.33203125" style="5" customWidth="1"/>
    <col min="11033" max="11262" width="8.88671875" style="5"/>
    <col min="11263" max="11263" width="6.33203125" style="5" customWidth="1"/>
    <col min="11264" max="11287" width="5.88671875" style="5" customWidth="1"/>
    <col min="11288" max="11288" width="7.33203125" style="5" customWidth="1"/>
    <col min="11289" max="11518" width="8.88671875" style="5"/>
    <col min="11519" max="11519" width="6.33203125" style="5" customWidth="1"/>
    <col min="11520" max="11543" width="5.88671875" style="5" customWidth="1"/>
    <col min="11544" max="11544" width="7.33203125" style="5" customWidth="1"/>
    <col min="11545" max="11774" width="8.88671875" style="5"/>
    <col min="11775" max="11775" width="6.33203125" style="5" customWidth="1"/>
    <col min="11776" max="11799" width="5.88671875" style="5" customWidth="1"/>
    <col min="11800" max="11800" width="7.33203125" style="5" customWidth="1"/>
    <col min="11801" max="12030" width="8.88671875" style="5"/>
    <col min="12031" max="12031" width="6.33203125" style="5" customWidth="1"/>
    <col min="12032" max="12055" width="5.88671875" style="5" customWidth="1"/>
    <col min="12056" max="12056" width="7.33203125" style="5" customWidth="1"/>
    <col min="12057" max="12286" width="8.88671875" style="5"/>
    <col min="12287" max="12287" width="6.33203125" style="5" customWidth="1"/>
    <col min="12288" max="12311" width="5.88671875" style="5" customWidth="1"/>
    <col min="12312" max="12312" width="7.33203125" style="5" customWidth="1"/>
    <col min="12313" max="12542" width="8.88671875" style="5"/>
    <col min="12543" max="12543" width="6.33203125" style="5" customWidth="1"/>
    <col min="12544" max="12567" width="5.88671875" style="5" customWidth="1"/>
    <col min="12568" max="12568" width="7.33203125" style="5" customWidth="1"/>
    <col min="12569" max="12798" width="8.88671875" style="5"/>
    <col min="12799" max="12799" width="6.33203125" style="5" customWidth="1"/>
    <col min="12800" max="12823" width="5.88671875" style="5" customWidth="1"/>
    <col min="12824" max="12824" width="7.33203125" style="5" customWidth="1"/>
    <col min="12825" max="13054" width="8.88671875" style="5"/>
    <col min="13055" max="13055" width="6.33203125" style="5" customWidth="1"/>
    <col min="13056" max="13079" width="5.88671875" style="5" customWidth="1"/>
    <col min="13080" max="13080" width="7.33203125" style="5" customWidth="1"/>
    <col min="13081" max="13310" width="8.88671875" style="5"/>
    <col min="13311" max="13311" width="6.33203125" style="5" customWidth="1"/>
    <col min="13312" max="13335" width="5.88671875" style="5" customWidth="1"/>
    <col min="13336" max="13336" width="7.33203125" style="5" customWidth="1"/>
    <col min="13337" max="13566" width="8.88671875" style="5"/>
    <col min="13567" max="13567" width="6.33203125" style="5" customWidth="1"/>
    <col min="13568" max="13591" width="5.88671875" style="5" customWidth="1"/>
    <col min="13592" max="13592" width="7.33203125" style="5" customWidth="1"/>
    <col min="13593" max="13822" width="8.88671875" style="5"/>
    <col min="13823" max="13823" width="6.33203125" style="5" customWidth="1"/>
    <col min="13824" max="13847" width="5.88671875" style="5" customWidth="1"/>
    <col min="13848" max="13848" width="7.33203125" style="5" customWidth="1"/>
    <col min="13849" max="14078" width="8.88671875" style="5"/>
    <col min="14079" max="14079" width="6.33203125" style="5" customWidth="1"/>
    <col min="14080" max="14103" width="5.88671875" style="5" customWidth="1"/>
    <col min="14104" max="14104" width="7.33203125" style="5" customWidth="1"/>
    <col min="14105" max="14334" width="8.88671875" style="5"/>
    <col min="14335" max="14335" width="6.33203125" style="5" customWidth="1"/>
    <col min="14336" max="14359" width="5.88671875" style="5" customWidth="1"/>
    <col min="14360" max="14360" width="7.33203125" style="5" customWidth="1"/>
    <col min="14361" max="14590" width="8.88671875" style="5"/>
    <col min="14591" max="14591" width="6.33203125" style="5" customWidth="1"/>
    <col min="14592" max="14615" width="5.88671875" style="5" customWidth="1"/>
    <col min="14616" max="14616" width="7.33203125" style="5" customWidth="1"/>
    <col min="14617" max="14846" width="8.88671875" style="5"/>
    <col min="14847" max="14847" width="6.33203125" style="5" customWidth="1"/>
    <col min="14848" max="14871" width="5.88671875" style="5" customWidth="1"/>
    <col min="14872" max="14872" width="7.33203125" style="5" customWidth="1"/>
    <col min="14873" max="15102" width="8.88671875" style="5"/>
    <col min="15103" max="15103" width="6.33203125" style="5" customWidth="1"/>
    <col min="15104" max="15127" width="5.88671875" style="5" customWidth="1"/>
    <col min="15128" max="15128" width="7.33203125" style="5" customWidth="1"/>
    <col min="15129" max="15358" width="8.88671875" style="5"/>
    <col min="15359" max="15359" width="6.33203125" style="5" customWidth="1"/>
    <col min="15360" max="15383" width="5.88671875" style="5" customWidth="1"/>
    <col min="15384" max="15384" width="7.33203125" style="5" customWidth="1"/>
    <col min="15385" max="15614" width="8.88671875" style="5"/>
    <col min="15615" max="15615" width="6.33203125" style="5" customWidth="1"/>
    <col min="15616" max="15639" width="5.88671875" style="5" customWidth="1"/>
    <col min="15640" max="15640" width="7.33203125" style="5" customWidth="1"/>
    <col min="15641" max="15870" width="8.88671875" style="5"/>
    <col min="15871" max="15871" width="6.33203125" style="5" customWidth="1"/>
    <col min="15872" max="15895" width="5.88671875" style="5" customWidth="1"/>
    <col min="15896" max="15896" width="7.33203125" style="5" customWidth="1"/>
    <col min="15897" max="16126" width="8.88671875" style="5"/>
    <col min="16127" max="16127" width="6.33203125" style="5" customWidth="1"/>
    <col min="16128" max="16151" width="5.88671875" style="5" customWidth="1"/>
    <col min="16152" max="16152" width="7.33203125" style="5" customWidth="1"/>
    <col min="16153" max="16384" width="8.88671875" style="5"/>
  </cols>
  <sheetData>
    <row r="1" spans="1:42" ht="22.8" x14ac:dyDescent="0.3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2"/>
      <c r="AB1" s="3"/>
      <c r="AC1" s="4"/>
      <c r="AE1" s="6" t="s">
        <v>1</v>
      </c>
      <c r="AF1" s="6"/>
      <c r="AG1" s="6"/>
      <c r="AH1" s="6"/>
      <c r="AI1" s="6"/>
      <c r="AJ1" s="6"/>
      <c r="AK1" s="6"/>
      <c r="AL1" s="6"/>
      <c r="AM1" s="6"/>
      <c r="AN1" s="6"/>
      <c r="AO1" s="6"/>
      <c r="AP1" s="6"/>
    </row>
    <row r="2" spans="1:42" ht="22.8" x14ac:dyDescent="0.25">
      <c r="AA2" s="7" t="s">
        <v>2</v>
      </c>
      <c r="AB2" s="8"/>
      <c r="AC2" s="9"/>
      <c r="AE2" s="6" t="s">
        <v>3</v>
      </c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</row>
    <row r="3" spans="1:42" ht="22.8" x14ac:dyDescent="0.25">
      <c r="A3" s="10" t="s">
        <v>4</v>
      </c>
      <c r="D3" s="11" t="s">
        <v>5</v>
      </c>
      <c r="Q3" s="5" t="s">
        <v>6</v>
      </c>
      <c r="S3" s="11" t="s">
        <v>2</v>
      </c>
      <c r="W3" s="5" t="s">
        <v>7</v>
      </c>
      <c r="Y3" s="12">
        <v>2024</v>
      </c>
      <c r="Z3" s="13"/>
      <c r="AA3" s="14"/>
      <c r="AB3" s="15"/>
      <c r="AC3" s="16"/>
      <c r="AE3" s="6" t="s">
        <v>8</v>
      </c>
      <c r="AF3" s="6"/>
      <c r="AG3" s="6"/>
      <c r="AH3" s="6"/>
      <c r="AI3" s="6"/>
      <c r="AJ3" s="6"/>
      <c r="AK3" s="6"/>
      <c r="AL3" s="6"/>
      <c r="AM3" s="6"/>
      <c r="AN3" s="6"/>
      <c r="AO3" s="6"/>
      <c r="AP3" s="6"/>
    </row>
    <row r="4" spans="1:42" ht="5.25" customHeight="1" x14ac:dyDescent="0.25">
      <c r="AA4" s="17"/>
      <c r="AB4" s="17"/>
      <c r="AC4" s="17"/>
    </row>
    <row r="5" spans="1:42" x14ac:dyDescent="0.25">
      <c r="A5" s="18"/>
      <c r="B5" s="19">
        <v>0.375</v>
      </c>
      <c r="C5" s="19">
        <v>0.41666666666666669</v>
      </c>
      <c r="D5" s="19">
        <v>0.45833333333333298</v>
      </c>
      <c r="E5" s="19">
        <v>0.5</v>
      </c>
      <c r="F5" s="19">
        <v>0.54166666666666696</v>
      </c>
      <c r="G5" s="19">
        <v>0.58333333333333304</v>
      </c>
      <c r="H5" s="19">
        <v>0.625</v>
      </c>
      <c r="I5" s="19">
        <v>0.66666666666666696</v>
      </c>
      <c r="J5" s="19">
        <v>0.70833333333333304</v>
      </c>
      <c r="K5" s="19">
        <v>0.75</v>
      </c>
      <c r="L5" s="19">
        <v>0.79166666666666696</v>
      </c>
      <c r="M5" s="19">
        <v>0.83333333333333337</v>
      </c>
      <c r="N5" s="19">
        <v>0.875</v>
      </c>
      <c r="O5" s="19">
        <v>0.91666666666666663</v>
      </c>
      <c r="P5" s="19">
        <v>0.95833333333333337</v>
      </c>
      <c r="Q5" s="19">
        <v>0</v>
      </c>
      <c r="R5" s="19">
        <v>4.1666666666666699E-2</v>
      </c>
      <c r="S5" s="19">
        <v>8.3333333333333301E-2</v>
      </c>
      <c r="T5" s="19">
        <v>0.125</v>
      </c>
      <c r="U5" s="19">
        <v>0.16666666666666699</v>
      </c>
      <c r="V5" s="19">
        <v>0.20833333333333301</v>
      </c>
      <c r="W5" s="19">
        <v>0.25</v>
      </c>
      <c r="X5" s="19">
        <v>0.29166666666666702</v>
      </c>
      <c r="Y5" s="19">
        <v>0.33333333333333298</v>
      </c>
      <c r="Z5" s="20" t="s">
        <v>9</v>
      </c>
      <c r="AA5" s="21" t="s">
        <v>10</v>
      </c>
      <c r="AB5" s="22" t="s">
        <v>11</v>
      </c>
      <c r="AC5" s="22" t="s">
        <v>12</v>
      </c>
    </row>
    <row r="6" spans="1:42" ht="14.25" customHeight="1" x14ac:dyDescent="0.3">
      <c r="A6" s="23">
        <v>1</v>
      </c>
      <c r="B6" s="24">
        <f>'[1]JUL 1'!B33</f>
        <v>11.48</v>
      </c>
      <c r="C6" s="24">
        <f>'[1]JUL 1'!C33</f>
        <v>11.47</v>
      </c>
      <c r="D6" s="24">
        <f>'[1]JUL 1'!D33</f>
        <v>11.47</v>
      </c>
      <c r="E6" s="24">
        <f>'[1]JUL 1'!E33</f>
        <v>11.47</v>
      </c>
      <c r="F6" s="24">
        <f>'[1]JUL 1'!F33</f>
        <v>11.47</v>
      </c>
      <c r="G6" s="24">
        <f>'[1]JUL 1'!G33</f>
        <v>11.47</v>
      </c>
      <c r="H6" s="24">
        <f>'[1]JUL 1'!H33</f>
        <v>11.47</v>
      </c>
      <c r="I6" s="24">
        <f>'[1]JUL 1'!I33</f>
        <v>11.47</v>
      </c>
      <c r="J6" s="24">
        <f>'[1]JUL 1'!J33</f>
        <v>11.47</v>
      </c>
      <c r="K6" s="24">
        <f>'[1]JUL 1'!K33</f>
        <v>11.47</v>
      </c>
      <c r="L6" s="24">
        <f>'[1]JUL 1'!L33</f>
        <v>11.47</v>
      </c>
      <c r="M6" s="24">
        <f>'[1]JUL 1'!M33</f>
        <v>11.47</v>
      </c>
      <c r="N6" s="24">
        <f>'[1]JUL 1'!N33</f>
        <v>11.47</v>
      </c>
      <c r="O6" s="24">
        <f>'[1]JUL 1'!O33</f>
        <v>11.47</v>
      </c>
      <c r="P6" s="24">
        <f>'[1]JUL 1'!P33</f>
        <v>11.47</v>
      </c>
      <c r="Q6" s="24">
        <f>'[1]JUL 1'!Q33</f>
        <v>11.47</v>
      </c>
      <c r="R6" s="24">
        <f>'[1]JUL 1'!R33</f>
        <v>11.47</v>
      </c>
      <c r="S6" s="24">
        <f>'[1]JUL 1'!S33</f>
        <v>11.47</v>
      </c>
      <c r="T6" s="24">
        <f>'[1]JUL 1'!T33</f>
        <v>11.47</v>
      </c>
      <c r="U6" s="24">
        <f>'[1]JUL 1'!U33</f>
        <v>11.47</v>
      </c>
      <c r="V6" s="24">
        <f>'[1]JUL 1'!V33</f>
        <v>11.47</v>
      </c>
      <c r="W6" s="24">
        <f>'[1]JUL 1'!W33</f>
        <v>11.47</v>
      </c>
      <c r="X6" s="24">
        <f>'[1]JUL 1'!X33</f>
        <v>11.47</v>
      </c>
      <c r="Y6" s="24">
        <f>'[1]JUL 1'!Y33</f>
        <v>11.47</v>
      </c>
      <c r="Z6" s="25">
        <f t="shared" ref="Z6:Z36" si="0">AVERAGE(B6:Y6)</f>
        <v>11.470416666666667</v>
      </c>
      <c r="AA6" s="26">
        <v>1</v>
      </c>
      <c r="AB6" s="27">
        <f>MAX(B6:Y6)</f>
        <v>11.48</v>
      </c>
      <c r="AC6" s="27">
        <f>MIN(B6:Y6)</f>
        <v>11.47</v>
      </c>
    </row>
    <row r="7" spans="1:42" ht="14.25" customHeight="1" x14ac:dyDescent="0.3">
      <c r="A7" s="23">
        <v>2</v>
      </c>
      <c r="B7" s="24">
        <f>'[1]JUL 2'!B33</f>
        <v>11.47</v>
      </c>
      <c r="C7" s="24">
        <f>'[1]JUL 2'!C33</f>
        <v>11.47</v>
      </c>
      <c r="D7" s="24">
        <f>'[1]JUL 2'!D33</f>
        <v>11.47</v>
      </c>
      <c r="E7" s="24">
        <f>'[1]JUL 2'!E33</f>
        <v>11.47</v>
      </c>
      <c r="F7" s="24">
        <f>'[1]JUL 2'!F33</f>
        <v>11.47</v>
      </c>
      <c r="G7" s="24">
        <f>'[1]JUL 2'!G33</f>
        <v>11.47</v>
      </c>
      <c r="H7" s="24">
        <f>'[1]JUL 2'!H33</f>
        <v>11.47</v>
      </c>
      <c r="I7" s="24">
        <f>'[1]JUL 2'!I33</f>
        <v>11.47</v>
      </c>
      <c r="J7" s="24">
        <f>'[1]JUL 2'!J33</f>
        <v>11.47</v>
      </c>
      <c r="K7" s="24">
        <f>'[1]JUL 2'!K33</f>
        <v>11.47</v>
      </c>
      <c r="L7" s="24">
        <f>'[1]JUL 2'!L33</f>
        <v>11.47</v>
      </c>
      <c r="M7" s="24">
        <f>'[1]JUL 2'!M33</f>
        <v>11.47</v>
      </c>
      <c r="N7" s="24">
        <f>'[1]JUL 2'!N33</f>
        <v>11.47</v>
      </c>
      <c r="O7" s="24">
        <f>'[1]JUL 2'!O33</f>
        <v>11.47</v>
      </c>
      <c r="P7" s="24">
        <f>'[1]JUL 2'!P33</f>
        <v>11.5</v>
      </c>
      <c r="Q7" s="24">
        <f>'[1]JUL 2'!Q33</f>
        <v>11.5</v>
      </c>
      <c r="R7" s="24">
        <f>'[1]JUL 2'!R33</f>
        <v>11.5</v>
      </c>
      <c r="S7" s="24">
        <f>'[1]JUL 2'!S33</f>
        <v>11.5</v>
      </c>
      <c r="T7" s="24">
        <f>'[1]JUL 2'!T33</f>
        <v>11.5</v>
      </c>
      <c r="U7" s="24">
        <f>'[1]JUL 2'!U33</f>
        <v>11.5</v>
      </c>
      <c r="V7" s="24">
        <f>'[1]JUL 2'!V33</f>
        <v>11.5</v>
      </c>
      <c r="W7" s="24">
        <f>'[1]JUL 2'!W33</f>
        <v>11.5</v>
      </c>
      <c r="X7" s="24">
        <f>'[1]JUL 2'!X33</f>
        <v>11.5</v>
      </c>
      <c r="Y7" s="24">
        <f>'[1]JUL 2'!Y33</f>
        <v>11.5</v>
      </c>
      <c r="Z7" s="25">
        <f t="shared" si="0"/>
        <v>11.482500000000002</v>
      </c>
      <c r="AA7" s="26">
        <v>2</v>
      </c>
      <c r="AB7" s="27">
        <f t="shared" ref="AB7:AB36" si="1">MAX(B7:Y7)</f>
        <v>11.5</v>
      </c>
      <c r="AC7" s="27">
        <f t="shared" ref="AC7:AC36" si="2">MIN(B7:Y7)</f>
        <v>11.47</v>
      </c>
    </row>
    <row r="8" spans="1:42" ht="14.25" customHeight="1" x14ac:dyDescent="0.3">
      <c r="A8" s="23">
        <v>3</v>
      </c>
      <c r="B8" s="24">
        <f>'[1]JUL 3'!B33</f>
        <v>11.5</v>
      </c>
      <c r="C8" s="24">
        <f>'[1]JUL 3'!C33</f>
        <v>11.5</v>
      </c>
      <c r="D8" s="24">
        <f>'[1]JUL 3'!D33</f>
        <v>11.5</v>
      </c>
      <c r="E8" s="24">
        <f>'[1]JUL 3'!E33</f>
        <v>11.5</v>
      </c>
      <c r="F8" s="24" t="str">
        <f>'[1]JUL 3'!F33</f>
        <v>**</v>
      </c>
      <c r="G8" s="24">
        <f>'[1]JUL 3'!G33</f>
        <v>11.49</v>
      </c>
      <c r="H8" s="24">
        <f>'[1]JUL 3'!H33</f>
        <v>11.49</v>
      </c>
      <c r="I8" s="24">
        <f>'[1]JUL 3'!I33</f>
        <v>11.49</v>
      </c>
      <c r="J8" s="24">
        <f>'[1]JUL 3'!J33</f>
        <v>11.49</v>
      </c>
      <c r="K8" s="24">
        <f>'[1]JUL 3'!K33</f>
        <v>11.49</v>
      </c>
      <c r="L8" s="24">
        <f>'[1]JUL 3'!L33</f>
        <v>11.49</v>
      </c>
      <c r="M8" s="24">
        <f>'[1]JUL 3'!M33</f>
        <v>11.49</v>
      </c>
      <c r="N8" s="24">
        <f>'[1]JUL 3'!N33</f>
        <v>11.49</v>
      </c>
      <c r="O8" s="24">
        <f>'[1]JUL 3'!O33</f>
        <v>11.49</v>
      </c>
      <c r="P8" s="24">
        <f>'[1]JUL 3'!P33</f>
        <v>11.49</v>
      </c>
      <c r="Q8" s="24">
        <f>'[1]JUL 3'!Q33</f>
        <v>11.49</v>
      </c>
      <c r="R8" s="24">
        <f>'[1]JUL 3'!R33</f>
        <v>11.49</v>
      </c>
      <c r="S8" s="24">
        <f>'[1]JUL 3'!S33</f>
        <v>11.49</v>
      </c>
      <c r="T8" s="24">
        <f>'[1]JUL 3'!T33</f>
        <v>11.49</v>
      </c>
      <c r="U8" s="24">
        <f>'[1]JUL 3'!U33</f>
        <v>11.49</v>
      </c>
      <c r="V8" s="24">
        <f>'[1]JUL 3'!V33</f>
        <v>11.49</v>
      </c>
      <c r="W8" s="24">
        <f>'[1]JUL 3'!W33</f>
        <v>11.49</v>
      </c>
      <c r="X8" s="24">
        <f>'[1]JUL 3'!X33</f>
        <v>11.49</v>
      </c>
      <c r="Y8" s="24">
        <f>'[1]JUL 3'!Y33</f>
        <v>11.49</v>
      </c>
      <c r="Z8" s="28">
        <f t="shared" si="0"/>
        <v>11.491739130434786</v>
      </c>
      <c r="AA8" s="26">
        <v>3</v>
      </c>
      <c r="AB8" s="29">
        <f t="shared" si="1"/>
        <v>11.5</v>
      </c>
      <c r="AC8" s="29">
        <f t="shared" si="2"/>
        <v>11.49</v>
      </c>
    </row>
    <row r="9" spans="1:42" ht="14.25" customHeight="1" x14ac:dyDescent="0.3">
      <c r="A9" s="23">
        <v>4</v>
      </c>
      <c r="B9" s="24">
        <f>'[1]JUL 4'!B33</f>
        <v>11.49</v>
      </c>
      <c r="C9" s="24">
        <f>'[1]JUL 4'!C33</f>
        <v>11.49</v>
      </c>
      <c r="D9" s="24">
        <f>'[1]JUL 4'!D33</f>
        <v>11.49</v>
      </c>
      <c r="E9" s="24">
        <f>'[1]JUL 4'!E33</f>
        <v>11.49</v>
      </c>
      <c r="F9" s="24">
        <f>'[1]JUL 4'!F33</f>
        <v>11.49</v>
      </c>
      <c r="G9" s="24">
        <f>'[1]JUL 4'!G33</f>
        <v>11.49</v>
      </c>
      <c r="H9" s="24">
        <f>'[1]JUL 4'!H33</f>
        <v>11.49</v>
      </c>
      <c r="I9" s="24">
        <f>'[1]JUL 4'!I33</f>
        <v>11.49</v>
      </c>
      <c r="J9" s="24">
        <f>'[1]JUL 4'!J33</f>
        <v>11.49</v>
      </c>
      <c r="K9" s="24">
        <f>'[1]JUL 4'!K33</f>
        <v>11.49</v>
      </c>
      <c r="L9" s="24">
        <f>'[1]JUL 4'!L33</f>
        <v>11.49</v>
      </c>
      <c r="M9" s="24">
        <f>'[1]JUL 4'!M33</f>
        <v>11.49</v>
      </c>
      <c r="N9" s="24">
        <f>'[1]JUL 4'!N33</f>
        <v>11.49</v>
      </c>
      <c r="O9" s="24">
        <f>'[1]JUL 4'!O33</f>
        <v>11.49</v>
      </c>
      <c r="P9" s="24">
        <f>'[1]JUL 4'!P33</f>
        <v>11.49</v>
      </c>
      <c r="Q9" s="24">
        <f>'[1]JUL 4'!Q33</f>
        <v>11.49</v>
      </c>
      <c r="R9" s="24">
        <f>'[1]JUL 4'!R33</f>
        <v>11.49</v>
      </c>
      <c r="S9" s="24">
        <f>'[1]JUL 4'!S33</f>
        <v>11.49</v>
      </c>
      <c r="T9" s="24">
        <f>'[1]JUL 4'!T33</f>
        <v>11.49</v>
      </c>
      <c r="U9" s="24">
        <f>'[1]JUL 4'!U33</f>
        <v>11.49</v>
      </c>
      <c r="V9" s="24">
        <f>'[1]JUL 4'!V33</f>
        <v>11.49</v>
      </c>
      <c r="W9" s="24">
        <f>'[1]JUL 4'!W33</f>
        <v>11.49</v>
      </c>
      <c r="X9" s="24">
        <f>'[1]JUL 4'!X33</f>
        <v>11.49</v>
      </c>
      <c r="Y9" s="24">
        <f>'[1]JUL 4'!Y33</f>
        <v>11.49</v>
      </c>
      <c r="Z9" s="28">
        <f t="shared" si="0"/>
        <v>11.490000000000002</v>
      </c>
      <c r="AA9" s="26">
        <v>4</v>
      </c>
      <c r="AB9" s="27">
        <f t="shared" si="1"/>
        <v>11.49</v>
      </c>
      <c r="AC9" s="27">
        <f t="shared" si="2"/>
        <v>11.49</v>
      </c>
    </row>
    <row r="10" spans="1:42" ht="14.25" customHeight="1" x14ac:dyDescent="0.3">
      <c r="A10" s="23">
        <v>5</v>
      </c>
      <c r="B10" s="24">
        <f>'[1]JUL 5'!B33</f>
        <v>11.49</v>
      </c>
      <c r="C10" s="24">
        <f>'[1]JUL 5'!C33</f>
        <v>11.49</v>
      </c>
      <c r="D10" s="24">
        <f>'[1]JUL 5'!D33</f>
        <v>11.49</v>
      </c>
      <c r="E10" s="24">
        <f>'[1]JUL 5'!E33</f>
        <v>11.49</v>
      </c>
      <c r="F10" s="24">
        <f>'[1]JUL 5'!F33</f>
        <v>11.49</v>
      </c>
      <c r="G10" s="24">
        <f>'[1]JUL 5'!G33</f>
        <v>11.49</v>
      </c>
      <c r="H10" s="24">
        <f>'[1]JUL 5'!H33</f>
        <v>11.49</v>
      </c>
      <c r="I10" s="24">
        <f>'[1]JUL 5'!I33</f>
        <v>11.49</v>
      </c>
      <c r="J10" s="24">
        <f>'[1]JUL 5'!J33</f>
        <v>11.49</v>
      </c>
      <c r="K10" s="24">
        <f>'[1]JUL 5'!K33</f>
        <v>11.49</v>
      </c>
      <c r="L10" s="24">
        <f>'[1]JUL 5'!L33</f>
        <v>11.49</v>
      </c>
      <c r="M10" s="24">
        <f>'[1]JUL 5'!M33</f>
        <v>11.49</v>
      </c>
      <c r="N10" s="24">
        <f>'[1]JUL 5'!N33</f>
        <v>11.49</v>
      </c>
      <c r="O10" s="24">
        <f>'[1]JUL 5'!O33</f>
        <v>11.49</v>
      </c>
      <c r="P10" s="24">
        <f>'[1]JUL 5'!P33</f>
        <v>11.49</v>
      </c>
      <c r="Q10" s="24">
        <f>'[1]JUL 5'!Q33</f>
        <v>11.49</v>
      </c>
      <c r="R10" s="24">
        <f>'[1]JUL 5'!R33</f>
        <v>11.49</v>
      </c>
      <c r="S10" s="24">
        <f>'[1]JUL 5'!S33</f>
        <v>11.49</v>
      </c>
      <c r="T10" s="24">
        <f>'[1]JUL 5'!T33</f>
        <v>11.49</v>
      </c>
      <c r="U10" s="24">
        <f>'[1]JUL 5'!U33</f>
        <v>11.49</v>
      </c>
      <c r="V10" s="24">
        <f>'[1]JUL 5'!V33</f>
        <v>11.49</v>
      </c>
      <c r="W10" s="24">
        <f>'[1]JUL 5'!W33</f>
        <v>11.49</v>
      </c>
      <c r="X10" s="24">
        <f>'[1]JUL 5'!X33</f>
        <v>11.49</v>
      </c>
      <c r="Y10" s="24">
        <f>'[1]JUL 5'!Y33</f>
        <v>11.48</v>
      </c>
      <c r="Z10" s="28">
        <f t="shared" si="0"/>
        <v>11.489583333333336</v>
      </c>
      <c r="AA10" s="26">
        <v>5</v>
      </c>
      <c r="AB10" s="27">
        <f t="shared" si="1"/>
        <v>11.49</v>
      </c>
      <c r="AC10" s="27">
        <f t="shared" si="2"/>
        <v>11.48</v>
      </c>
    </row>
    <row r="11" spans="1:42" ht="14.25" customHeight="1" x14ac:dyDescent="0.3">
      <c r="A11" s="23">
        <v>6</v>
      </c>
      <c r="B11" s="24">
        <f>'[1]JUL 6'!B33</f>
        <v>11.48</v>
      </c>
      <c r="C11" s="24">
        <f>'[1]JUL 6'!C33</f>
        <v>11.48</v>
      </c>
      <c r="D11" s="24">
        <f>'[1]JUL 6'!D33</f>
        <v>11.48</v>
      </c>
      <c r="E11" s="24">
        <f>'[1]JUL 6'!E33</f>
        <v>11.48</v>
      </c>
      <c r="F11" s="24">
        <f>'[1]JUL 6'!F33</f>
        <v>11.48</v>
      </c>
      <c r="G11" s="24">
        <f>'[1]JUL 6'!G33</f>
        <v>11.48</v>
      </c>
      <c r="H11" s="24">
        <f>'[1]JUL 6'!H33</f>
        <v>11.48</v>
      </c>
      <c r="I11" s="24">
        <f>'[1]JUL 6'!I33</f>
        <v>11.48</v>
      </c>
      <c r="J11" s="24">
        <f>'[1]JUL 6'!J33</f>
        <v>11.48</v>
      </c>
      <c r="K11" s="24">
        <f>'[1]JUL 6'!K33</f>
        <v>11.48</v>
      </c>
      <c r="L11" s="24">
        <f>'[1]JUL 6'!L33</f>
        <v>11.48</v>
      </c>
      <c r="M11" s="24">
        <f>'[1]JUL 6'!M33</f>
        <v>11.48</v>
      </c>
      <c r="N11" s="24">
        <f>'[1]JUL 6'!N33</f>
        <v>11.48</v>
      </c>
      <c r="O11" s="24">
        <f>'[1]JUL 6'!O33</f>
        <v>11.48</v>
      </c>
      <c r="P11" s="24">
        <f>'[1]JUL 6'!P33</f>
        <v>11.48</v>
      </c>
      <c r="Q11" s="24">
        <f>'[1]JUL 6'!Q33</f>
        <v>11.48</v>
      </c>
      <c r="R11" s="24">
        <f>'[1]JUL 6'!R33</f>
        <v>11.48</v>
      </c>
      <c r="S11" s="24">
        <f>'[1]JUL 6'!S33</f>
        <v>11.48</v>
      </c>
      <c r="T11" s="24">
        <f>'[1]JUL 6'!T33</f>
        <v>11.48</v>
      </c>
      <c r="U11" s="24">
        <f>'[1]JUL 6'!U33</f>
        <v>11.48</v>
      </c>
      <c r="V11" s="24">
        <f>'[1]JUL 6'!V33</f>
        <v>11.48</v>
      </c>
      <c r="W11" s="24">
        <f>'[1]JUL 6'!W33</f>
        <v>11.48</v>
      </c>
      <c r="X11" s="24">
        <f>'[1]JUL 6'!X33</f>
        <v>11.48</v>
      </c>
      <c r="Y11" s="24">
        <f>'[1]JUL 6'!Y33</f>
        <v>11.48</v>
      </c>
      <c r="Z11" s="25">
        <f t="shared" si="0"/>
        <v>11.479999999999997</v>
      </c>
      <c r="AA11" s="26">
        <v>6</v>
      </c>
      <c r="AB11" s="27">
        <f>MAX(B11:Y11)</f>
        <v>11.48</v>
      </c>
      <c r="AC11" s="27">
        <f>MIN(B11:Y11)</f>
        <v>11.48</v>
      </c>
    </row>
    <row r="12" spans="1:42" ht="14.25" customHeight="1" x14ac:dyDescent="0.3">
      <c r="A12" s="23">
        <v>7</v>
      </c>
      <c r="B12" s="24">
        <f>'[1]JUL 7'!B33</f>
        <v>11.48</v>
      </c>
      <c r="C12" s="24">
        <f>'[1]JUL 7'!C33</f>
        <v>11.48</v>
      </c>
      <c r="D12" s="24">
        <f>'[1]JUL 7'!D33</f>
        <v>11.48</v>
      </c>
      <c r="E12" s="24">
        <f>'[1]JUL 7'!E33</f>
        <v>11.48</v>
      </c>
      <c r="F12" s="24">
        <f>'[1]JUL 7'!F33</f>
        <v>11.48</v>
      </c>
      <c r="G12" s="24">
        <f>'[1]JUL 7'!G33</f>
        <v>11.48</v>
      </c>
      <c r="H12" s="24">
        <f>'[1]JUL 7'!H33</f>
        <v>11.48</v>
      </c>
      <c r="I12" s="24">
        <f>'[1]JUL 7'!I33</f>
        <v>11.48</v>
      </c>
      <c r="J12" s="24">
        <f>'[1]JUL 7'!J33</f>
        <v>11.48</v>
      </c>
      <c r="K12" s="24">
        <f>'[1]JUL 7'!K33</f>
        <v>11.48</v>
      </c>
      <c r="L12" s="24">
        <f>'[1]JUL 7'!L33</f>
        <v>11.48</v>
      </c>
      <c r="M12" s="24">
        <f>'[1]JUL 7'!M33</f>
        <v>11.48</v>
      </c>
      <c r="N12" s="24">
        <f>'[1]JUL 7'!N33</f>
        <v>11.48</v>
      </c>
      <c r="O12" s="24">
        <f>'[1]JUL 7'!O33</f>
        <v>11.48</v>
      </c>
      <c r="P12" s="24">
        <f>'[1]JUL 7'!P33</f>
        <v>11.48</v>
      </c>
      <c r="Q12" s="24">
        <f>'[1]JUL 7'!Q33</f>
        <v>11.48</v>
      </c>
      <c r="R12" s="24">
        <f>'[1]JUL 7'!R33</f>
        <v>11.48</v>
      </c>
      <c r="S12" s="24">
        <f>'[1]JUL 7'!S33</f>
        <v>11.48</v>
      </c>
      <c r="T12" s="24">
        <f>'[1]JUL 7'!T33</f>
        <v>11.48</v>
      </c>
      <c r="U12" s="24">
        <f>'[1]JUL 7'!U33</f>
        <v>11.48</v>
      </c>
      <c r="V12" s="24">
        <f>'[1]JUL 7'!V33</f>
        <v>11.48</v>
      </c>
      <c r="W12" s="24">
        <f>'[1]JUL 7'!W33</f>
        <v>11.48</v>
      </c>
      <c r="X12" s="24">
        <f>'[1]JUL 7'!X33</f>
        <v>11.48</v>
      </c>
      <c r="Y12" s="24">
        <f>'[1]JUL 7'!Y33</f>
        <v>11.48</v>
      </c>
      <c r="Z12" s="25">
        <f t="shared" si="0"/>
        <v>11.479999999999997</v>
      </c>
      <c r="AA12" s="26">
        <v>7</v>
      </c>
      <c r="AB12" s="27">
        <f t="shared" si="1"/>
        <v>11.48</v>
      </c>
      <c r="AC12" s="27">
        <f t="shared" si="2"/>
        <v>11.48</v>
      </c>
    </row>
    <row r="13" spans="1:42" ht="14.25" customHeight="1" x14ac:dyDescent="0.3">
      <c r="A13" s="23">
        <v>8</v>
      </c>
      <c r="B13" s="24">
        <f>'[1]JUL 8'!B33</f>
        <v>11.48</v>
      </c>
      <c r="C13" s="24">
        <f>'[1]JUL 8'!C33</f>
        <v>11.48</v>
      </c>
      <c r="D13" s="24">
        <f>'[1]JUL 8'!D33</f>
        <v>11.48</v>
      </c>
      <c r="E13" s="24">
        <f>'[1]JUL 8'!E33</f>
        <v>11.48</v>
      </c>
      <c r="F13" s="24">
        <f>'[1]JUL 8'!F33</f>
        <v>11.48</v>
      </c>
      <c r="G13" s="24">
        <f>'[1]JUL 8'!G33</f>
        <v>11.48</v>
      </c>
      <c r="H13" s="24">
        <f>'[1]JUL 8'!H33</f>
        <v>11.47</v>
      </c>
      <c r="I13" s="24">
        <f>'[1]JUL 8'!I33</f>
        <v>11.47</v>
      </c>
      <c r="J13" s="24">
        <f>'[1]JUL 8'!J33</f>
        <v>11.47</v>
      </c>
      <c r="K13" s="24">
        <f>'[1]JUL 8'!K33</f>
        <v>11.81</v>
      </c>
      <c r="L13" s="24">
        <f>'[1]JUL 8'!L33</f>
        <v>11.87</v>
      </c>
      <c r="M13" s="24">
        <f>'[1]JUL 8'!M33</f>
        <v>11.72</v>
      </c>
      <c r="N13" s="24">
        <f>'[1]JUL 8'!N33</f>
        <v>11.57</v>
      </c>
      <c r="O13" s="24">
        <f>'[1]JUL 8'!O33</f>
        <v>11.5</v>
      </c>
      <c r="P13" s="24">
        <f>'[1]JUL 8'!P33</f>
        <v>11.5</v>
      </c>
      <c r="Q13" s="24">
        <f>'[1]JUL 8'!Q33</f>
        <v>11.5</v>
      </c>
      <c r="R13" s="24">
        <f>'[1]JUL 8'!R33</f>
        <v>11.49</v>
      </c>
      <c r="S13" s="24">
        <f>'[1]JUL 8'!S33</f>
        <v>11.49</v>
      </c>
      <c r="T13" s="24">
        <f>'[1]JUL 8'!T33</f>
        <v>11.49</v>
      </c>
      <c r="U13" s="24">
        <f>'[1]JUL 8'!U33</f>
        <v>11.49</v>
      </c>
      <c r="V13" s="24">
        <f>'[1]JUL 8'!V33</f>
        <v>11.49</v>
      </c>
      <c r="W13" s="24">
        <f>'[1]JUL 8'!W33</f>
        <v>11.49</v>
      </c>
      <c r="X13" s="24">
        <f>'[1]JUL 8'!X33</f>
        <v>11.49</v>
      </c>
      <c r="Y13" s="24">
        <f>'[1]JUL 8'!Y33</f>
        <v>11.49</v>
      </c>
      <c r="Z13" s="25">
        <f t="shared" si="0"/>
        <v>11.528333333333336</v>
      </c>
      <c r="AA13" s="26">
        <v>8</v>
      </c>
      <c r="AB13" s="27">
        <f t="shared" si="1"/>
        <v>11.87</v>
      </c>
      <c r="AC13" s="27">
        <f t="shared" si="2"/>
        <v>11.47</v>
      </c>
    </row>
    <row r="14" spans="1:42" ht="14.25" customHeight="1" x14ac:dyDescent="0.3">
      <c r="A14" s="23">
        <v>9</v>
      </c>
      <c r="B14" s="24">
        <f>'[1]JUL 9'!B33</f>
        <v>11.49</v>
      </c>
      <c r="C14" s="24">
        <f>'[1]JUL 9'!C33</f>
        <v>11.49</v>
      </c>
      <c r="D14" s="24">
        <f>'[1]JUL 9'!D33</f>
        <v>11.49</v>
      </c>
      <c r="E14" s="24">
        <f>'[1]JUL 9'!E33</f>
        <v>11.49</v>
      </c>
      <c r="F14" s="24">
        <f>'[1]JUL 9'!F33</f>
        <v>11.49</v>
      </c>
      <c r="G14" s="24">
        <f>'[1]JUL 9'!G33</f>
        <v>11.49</v>
      </c>
      <c r="H14" s="24" t="str">
        <f>'[1]JUL 9'!H33</f>
        <v>**</v>
      </c>
      <c r="I14" s="24">
        <f>'[1]JUL 9'!I33</f>
        <v>11.49</v>
      </c>
      <c r="J14" s="24" t="str">
        <f>'[1]JUL 9'!J33</f>
        <v>**</v>
      </c>
      <c r="K14" s="24" t="str">
        <f>'[1]JUL 9'!K33</f>
        <v>**</v>
      </c>
      <c r="L14" s="24" t="str">
        <f>'[1]JUL 9'!L33</f>
        <v>**</v>
      </c>
      <c r="M14" s="24" t="str">
        <f>'[1]JUL 9'!M33</f>
        <v>**</v>
      </c>
      <c r="N14" s="24">
        <f>'[1]JUL 9'!N33</f>
        <v>11.49</v>
      </c>
      <c r="O14" s="24" t="str">
        <f>'[1]JUL 9'!O33</f>
        <v>**</v>
      </c>
      <c r="P14" s="24" t="str">
        <f>'[1]JUL 9'!P33</f>
        <v>**</v>
      </c>
      <c r="Q14" s="24" t="str">
        <f>'[1]JUL 9'!Q33</f>
        <v>**</v>
      </c>
      <c r="R14" s="24" t="str">
        <f>'[1]JUL 9'!R33</f>
        <v>**</v>
      </c>
      <c r="S14" s="24" t="str">
        <f>'[1]JUL 9'!S33</f>
        <v>**</v>
      </c>
      <c r="T14" s="24" t="str">
        <f>'[1]JUL 9'!T33</f>
        <v>**</v>
      </c>
      <c r="U14" s="24" t="str">
        <f>'[1]JUL 9'!U33</f>
        <v>**</v>
      </c>
      <c r="V14" s="24" t="str">
        <f>'[1]JUL 9'!V33</f>
        <v>**</v>
      </c>
      <c r="W14" s="24" t="str">
        <f>'[1]JUL 9'!W33</f>
        <v>**</v>
      </c>
      <c r="X14" s="24" t="str">
        <f>'[1]JUL 9'!X33</f>
        <v>**</v>
      </c>
      <c r="Y14" s="24">
        <f>'[1]JUL 9'!Y33</f>
        <v>11.49</v>
      </c>
      <c r="Z14" s="25">
        <f t="shared" si="0"/>
        <v>11.489999999999998</v>
      </c>
      <c r="AA14" s="26">
        <v>9</v>
      </c>
      <c r="AB14" s="27">
        <f t="shared" si="1"/>
        <v>11.49</v>
      </c>
      <c r="AC14" s="27">
        <f t="shared" si="2"/>
        <v>11.49</v>
      </c>
    </row>
    <row r="15" spans="1:42" ht="14.25" customHeight="1" x14ac:dyDescent="0.3">
      <c r="A15" s="23">
        <v>10</v>
      </c>
      <c r="B15" s="24">
        <f>'[1]JUL 10'!B33</f>
        <v>11.49</v>
      </c>
      <c r="C15" s="24">
        <f>'[1]JUL 10'!C33</f>
        <v>11.49</v>
      </c>
      <c r="D15" s="24">
        <f>'[1]JUL 10'!D33</f>
        <v>11.49</v>
      </c>
      <c r="E15" s="24">
        <f>'[1]JUL 10'!E33</f>
        <v>11.49</v>
      </c>
      <c r="F15" s="24">
        <f>'[1]JUL 10'!F33</f>
        <v>11.49</v>
      </c>
      <c r="G15" s="24">
        <f>'[1]JUL 10'!G33</f>
        <v>11.49</v>
      </c>
      <c r="H15" s="24">
        <f>'[1]JUL 10'!H33</f>
        <v>11.49</v>
      </c>
      <c r="I15" s="24">
        <f>'[1]JUL 10'!I33</f>
        <v>11.49</v>
      </c>
      <c r="J15" s="24" t="str">
        <f>'[1]JUL 10'!J33</f>
        <v>**</v>
      </c>
      <c r="K15" s="24" t="str">
        <f>'[1]JUL 10'!K33</f>
        <v>**</v>
      </c>
      <c r="L15" s="24">
        <f>'[1]JUL 10'!L33</f>
        <v>11.49</v>
      </c>
      <c r="M15" s="24" t="str">
        <f>'[1]JUL 10'!M33</f>
        <v>**</v>
      </c>
      <c r="N15" s="24" t="str">
        <f>'[1]JUL 10'!N33</f>
        <v>**</v>
      </c>
      <c r="O15" s="24" t="str">
        <f>'[1]JUL 10'!O33</f>
        <v>**</v>
      </c>
      <c r="P15" s="24" t="str">
        <f>'[1]JUL 10'!P33</f>
        <v>**</v>
      </c>
      <c r="Q15" s="24" t="str">
        <f>'[1]JUL 10'!Q33</f>
        <v>**</v>
      </c>
      <c r="R15" s="24" t="str">
        <f>'[1]JUL 10'!R33</f>
        <v>**</v>
      </c>
      <c r="S15" s="24" t="str">
        <f>'[1]JUL 10'!S33</f>
        <v>**</v>
      </c>
      <c r="T15" s="24" t="str">
        <f>'[1]JUL 10'!T33</f>
        <v>**</v>
      </c>
      <c r="U15" s="24" t="str">
        <f>'[1]JUL 10'!U33</f>
        <v>**</v>
      </c>
      <c r="V15" s="24" t="str">
        <f>'[1]JUL 10'!V33</f>
        <v>**</v>
      </c>
      <c r="W15" s="24" t="str">
        <f>'[1]JUL 10'!W33</f>
        <v>**</v>
      </c>
      <c r="X15" s="24" t="str">
        <f>'[1]JUL 10'!X33</f>
        <v>**</v>
      </c>
      <c r="Y15" s="24" t="str">
        <f>'[1]JUL 10'!Y33</f>
        <v>**</v>
      </c>
      <c r="Z15" s="25">
        <f t="shared" si="0"/>
        <v>11.489999999999998</v>
      </c>
      <c r="AA15" s="26">
        <v>10</v>
      </c>
      <c r="AB15" s="27">
        <f t="shared" si="1"/>
        <v>11.49</v>
      </c>
      <c r="AC15" s="27">
        <f t="shared" si="2"/>
        <v>11.49</v>
      </c>
    </row>
    <row r="16" spans="1:42" ht="14.25" customHeight="1" x14ac:dyDescent="0.3">
      <c r="A16" s="23">
        <v>11</v>
      </c>
      <c r="B16" s="24">
        <f>'[1]JUL 11'!B33</f>
        <v>11.49</v>
      </c>
      <c r="C16" s="24">
        <f>'[1]JUL 11'!C33</f>
        <v>11.49</v>
      </c>
      <c r="D16" s="24">
        <f>'[1]JUL 11'!D33</f>
        <v>11.49</v>
      </c>
      <c r="E16" s="24">
        <f>'[1]JUL 11'!E33</f>
        <v>11.49</v>
      </c>
      <c r="F16" s="24">
        <f>'[1]JUL 11'!F33</f>
        <v>11.49</v>
      </c>
      <c r="G16" s="24">
        <f>'[1]JUL 11'!G33</f>
        <v>11.49</v>
      </c>
      <c r="H16" s="24">
        <f>'[1]JUL 11'!H33</f>
        <v>11.49</v>
      </c>
      <c r="I16" s="24">
        <f>'[1]JUL 11'!I33</f>
        <v>11.49</v>
      </c>
      <c r="J16" s="24" t="str">
        <f>'[1]JUL 11'!J33</f>
        <v>**</v>
      </c>
      <c r="K16" s="24" t="str">
        <f>'[1]JUL 11'!K33</f>
        <v>**</v>
      </c>
      <c r="L16" s="24" t="str">
        <f>'[1]JUL 11'!L33</f>
        <v>**</v>
      </c>
      <c r="M16" s="24" t="str">
        <f>'[1]JUL 11'!M33</f>
        <v>**</v>
      </c>
      <c r="N16" s="24" t="str">
        <f>'[1]JUL 11'!N33</f>
        <v>**</v>
      </c>
      <c r="O16" s="24" t="str">
        <f>'[1]JUL 11'!O33</f>
        <v>**</v>
      </c>
      <c r="P16" s="24" t="str">
        <f>'[1]JUL 11'!P33</f>
        <v>**</v>
      </c>
      <c r="Q16" s="24" t="str">
        <f>'[1]JUL 11'!Q33</f>
        <v>**</v>
      </c>
      <c r="R16" s="24" t="str">
        <f>'[1]JUL 11'!R33</f>
        <v>**</v>
      </c>
      <c r="S16" s="24" t="str">
        <f>'[1]JUL 11'!S33</f>
        <v>**</v>
      </c>
      <c r="T16" s="24" t="str">
        <f>'[1]JUL 11'!T33</f>
        <v>**</v>
      </c>
      <c r="U16" s="24" t="str">
        <f>'[1]JUL 11'!U33</f>
        <v>**</v>
      </c>
      <c r="V16" s="24" t="str">
        <f>'[1]JUL 11'!V33</f>
        <v>**</v>
      </c>
      <c r="W16" s="24" t="str">
        <f>'[1]JUL 11'!W33</f>
        <v>**</v>
      </c>
      <c r="X16" s="24" t="str">
        <f>'[1]JUL 11'!X33</f>
        <v>**</v>
      </c>
      <c r="Y16" s="24" t="str">
        <f>'[1]JUL 11'!Y33</f>
        <v>**</v>
      </c>
      <c r="Z16" s="25">
        <f t="shared" si="0"/>
        <v>11.489999999999998</v>
      </c>
      <c r="AA16" s="26">
        <v>11</v>
      </c>
      <c r="AB16" s="27">
        <f t="shared" si="1"/>
        <v>11.49</v>
      </c>
      <c r="AC16" s="27">
        <f t="shared" si="2"/>
        <v>11.49</v>
      </c>
    </row>
    <row r="17" spans="1:29" ht="14.25" customHeight="1" x14ac:dyDescent="0.3">
      <c r="A17" s="23">
        <v>12</v>
      </c>
      <c r="B17" s="24">
        <f>'[1]JUL 12'!B33</f>
        <v>11.48</v>
      </c>
      <c r="C17" s="24">
        <f>'[1]JUL 12'!C33</f>
        <v>11.48</v>
      </c>
      <c r="D17" s="24">
        <f>'[1]JUL 12'!D33</f>
        <v>11.48</v>
      </c>
      <c r="E17" s="24">
        <f>'[1]JUL 12'!E33</f>
        <v>11.48</v>
      </c>
      <c r="F17" s="24">
        <f>'[1]JUL 12'!F33</f>
        <v>11.48</v>
      </c>
      <c r="G17" s="24">
        <f>'[1]JUL 12'!G33</f>
        <v>11.48</v>
      </c>
      <c r="H17" s="24" t="str">
        <f>'[1]JUL 12'!H33</f>
        <v>**</v>
      </c>
      <c r="I17" s="24" t="str">
        <f>'[1]JUL 12'!I33</f>
        <v>**</v>
      </c>
      <c r="J17" s="24" t="str">
        <f>'[1]JUL 12'!J33</f>
        <v>**</v>
      </c>
      <c r="K17" s="24" t="str">
        <f>'[1]JUL 12'!K33</f>
        <v>**</v>
      </c>
      <c r="L17" s="24" t="str">
        <f>'[1]JUL 12'!L33</f>
        <v>**</v>
      </c>
      <c r="M17" s="24" t="str">
        <f>'[1]JUL 12'!M33</f>
        <v>**</v>
      </c>
      <c r="N17" s="24" t="str">
        <f>'[1]JUL 12'!N33</f>
        <v>**</v>
      </c>
      <c r="O17" s="24" t="str">
        <f>'[1]JUL 12'!O33</f>
        <v>**</v>
      </c>
      <c r="P17" s="24" t="str">
        <f>'[1]JUL 12'!P33</f>
        <v>**</v>
      </c>
      <c r="Q17" s="24" t="str">
        <f>'[1]JUL 12'!Q33</f>
        <v>**</v>
      </c>
      <c r="R17" s="24" t="str">
        <f>'[1]JUL 12'!R33</f>
        <v>**</v>
      </c>
      <c r="S17" s="24" t="str">
        <f>'[1]JUL 12'!S33</f>
        <v>**</v>
      </c>
      <c r="T17" s="24">
        <f>'[1]JUL 12'!T33</f>
        <v>11.48</v>
      </c>
      <c r="U17" s="24">
        <f>'[1]JUL 12'!U33</f>
        <v>11.48</v>
      </c>
      <c r="V17" s="24">
        <f>'[1]JUL 12'!V33</f>
        <v>11.48</v>
      </c>
      <c r="W17" s="24">
        <f>'[1]JUL 12'!W33</f>
        <v>11.48</v>
      </c>
      <c r="X17" s="24">
        <f>'[1]JUL 12'!X33</f>
        <v>11.48</v>
      </c>
      <c r="Y17" s="24">
        <f>'[1]JUL 12'!Y33</f>
        <v>11.48</v>
      </c>
      <c r="Z17" s="25">
        <f t="shared" si="0"/>
        <v>11.480000000000002</v>
      </c>
      <c r="AA17" s="26">
        <v>12</v>
      </c>
      <c r="AB17" s="27">
        <f t="shared" si="1"/>
        <v>11.48</v>
      </c>
      <c r="AC17" s="27">
        <f t="shared" si="2"/>
        <v>11.48</v>
      </c>
    </row>
    <row r="18" spans="1:29" ht="14.25" customHeight="1" x14ac:dyDescent="0.3">
      <c r="A18" s="23">
        <v>13</v>
      </c>
      <c r="B18" s="24">
        <f>'[1]JUL 13'!B33</f>
        <v>11.48</v>
      </c>
      <c r="C18" s="24">
        <f>'[1]JUL 13'!C33</f>
        <v>11.48</v>
      </c>
      <c r="D18" s="24">
        <f>'[1]JUL 13'!D33</f>
        <v>11.48</v>
      </c>
      <c r="E18" s="24">
        <f>'[1]JUL 13'!E33</f>
        <v>11.48</v>
      </c>
      <c r="F18" s="24">
        <f>'[1]JUL 13'!F33</f>
        <v>11.48</v>
      </c>
      <c r="G18" s="24">
        <f>'[1]JUL 13'!G33</f>
        <v>11.48</v>
      </c>
      <c r="H18" s="24">
        <f>'[1]JUL 13'!H33</f>
        <v>11.48</v>
      </c>
      <c r="I18" s="24">
        <f>'[1]JUL 13'!I33</f>
        <v>11.48</v>
      </c>
      <c r="J18" s="24">
        <f>'[1]JUL 13'!J33</f>
        <v>11.48</v>
      </c>
      <c r="K18" s="24">
        <f>'[1]JUL 13'!K33</f>
        <v>11.48</v>
      </c>
      <c r="L18" s="24">
        <f>'[1]JUL 13'!L33</f>
        <v>11.48</v>
      </c>
      <c r="M18" s="24">
        <f>'[1]JUL 13'!M33</f>
        <v>11.48</v>
      </c>
      <c r="N18" s="24">
        <f>'[1]JUL 13'!N33</f>
        <v>11.48</v>
      </c>
      <c r="O18" s="24">
        <f>'[1]JUL 13'!O33</f>
        <v>11.48</v>
      </c>
      <c r="P18" s="24">
        <f>'[1]JUL 13'!P33</f>
        <v>11.48</v>
      </c>
      <c r="Q18" s="24">
        <f>'[1]JUL 13'!Q33</f>
        <v>11.48</v>
      </c>
      <c r="R18" s="24">
        <f>'[1]JUL 13'!R33</f>
        <v>11.48</v>
      </c>
      <c r="S18" s="24">
        <f>'[1]JUL 13'!S33</f>
        <v>11.48</v>
      </c>
      <c r="T18" s="24">
        <f>'[1]JUL 13'!T33</f>
        <v>11.48</v>
      </c>
      <c r="U18" s="24">
        <f>'[1]JUL 13'!U33</f>
        <v>11.48</v>
      </c>
      <c r="V18" s="24">
        <f>'[1]JUL 13'!V33</f>
        <v>11.48</v>
      </c>
      <c r="W18" s="24">
        <f>'[1]JUL 13'!W33</f>
        <v>11.48</v>
      </c>
      <c r="X18" s="24">
        <f>'[1]JUL 13'!X33</f>
        <v>11.48</v>
      </c>
      <c r="Y18" s="24">
        <f>'[1]JUL 13'!Y33</f>
        <v>11.48</v>
      </c>
      <c r="Z18" s="25">
        <f t="shared" si="0"/>
        <v>11.479999999999997</v>
      </c>
      <c r="AA18" s="26">
        <v>13</v>
      </c>
      <c r="AB18" s="27">
        <f t="shared" si="1"/>
        <v>11.48</v>
      </c>
      <c r="AC18" s="27">
        <f t="shared" si="2"/>
        <v>11.48</v>
      </c>
    </row>
    <row r="19" spans="1:29" ht="14.25" customHeight="1" x14ac:dyDescent="0.3">
      <c r="A19" s="23">
        <v>14</v>
      </c>
      <c r="B19" s="24">
        <f>'[1]JUL 14'!B33</f>
        <v>11.48</v>
      </c>
      <c r="C19" s="24">
        <f>'[1]JUL 14'!C33</f>
        <v>11.48</v>
      </c>
      <c r="D19" s="24">
        <f>'[1]JUL 14'!D33</f>
        <v>11.48</v>
      </c>
      <c r="E19" s="24">
        <f>'[1]JUL 14'!E33</f>
        <v>11.48</v>
      </c>
      <c r="F19" s="24">
        <f>'[1]JUL 14'!F33</f>
        <v>11.48</v>
      </c>
      <c r="G19" s="24">
        <f>'[1]JUL 14'!G33</f>
        <v>11.48</v>
      </c>
      <c r="H19" s="24">
        <f>'[1]JUL 14'!H33</f>
        <v>11.48</v>
      </c>
      <c r="I19" s="24">
        <f>'[1]JUL 14'!I33</f>
        <v>11.48</v>
      </c>
      <c r="J19" s="24">
        <f>'[1]JUL 14'!J33</f>
        <v>11.48</v>
      </c>
      <c r="K19" s="24">
        <f>'[1]JUL 14'!K33</f>
        <v>11.48</v>
      </c>
      <c r="L19" s="24">
        <f>'[1]JUL 14'!L33</f>
        <v>11.48</v>
      </c>
      <c r="M19" s="24">
        <f>'[1]JUL 14'!M33</f>
        <v>11.48</v>
      </c>
      <c r="N19" s="24">
        <f>'[1]JUL 14'!N33</f>
        <v>11.47</v>
      </c>
      <c r="O19" s="24">
        <f>'[1]JUL 14'!O33</f>
        <v>11.47</v>
      </c>
      <c r="P19" s="24">
        <f>'[1]JUL 14'!P33</f>
        <v>11.47</v>
      </c>
      <c r="Q19" s="24">
        <f>'[1]JUL 14'!Q33</f>
        <v>11.47</v>
      </c>
      <c r="R19" s="24">
        <f>'[1]JUL 14'!R33</f>
        <v>11.47</v>
      </c>
      <c r="S19" s="24">
        <f>'[1]JUL 14'!S33</f>
        <v>11.47</v>
      </c>
      <c r="T19" s="24">
        <f>'[1]JUL 14'!T33</f>
        <v>11.47</v>
      </c>
      <c r="U19" s="24">
        <f>'[1]JUL 14'!U33</f>
        <v>11.47</v>
      </c>
      <c r="V19" s="24">
        <f>'[1]JUL 14'!V33</f>
        <v>11.47</v>
      </c>
      <c r="W19" s="24">
        <f>'[1]JUL 14'!W33</f>
        <v>11.47</v>
      </c>
      <c r="X19" s="24">
        <f>'[1]JUL 14'!X33</f>
        <v>11.47</v>
      </c>
      <c r="Y19" s="24">
        <f>'[1]JUL 14'!Y33</f>
        <v>11.47</v>
      </c>
      <c r="Z19" s="25">
        <f t="shared" si="0"/>
        <v>11.475000000000001</v>
      </c>
      <c r="AA19" s="26">
        <v>14</v>
      </c>
      <c r="AB19" s="27">
        <f t="shared" si="1"/>
        <v>11.48</v>
      </c>
      <c r="AC19" s="27">
        <f t="shared" si="2"/>
        <v>11.47</v>
      </c>
    </row>
    <row r="20" spans="1:29" ht="14.25" customHeight="1" x14ac:dyDescent="0.3">
      <c r="A20" s="23">
        <v>15</v>
      </c>
      <c r="B20" s="24">
        <f>'[1]JUL 15'!B33</f>
        <v>11.47</v>
      </c>
      <c r="C20" s="24">
        <f>'[1]JUL 15'!C33</f>
        <v>11.47</v>
      </c>
      <c r="D20" s="24">
        <f>'[1]JUL 15'!D33</f>
        <v>11.47</v>
      </c>
      <c r="E20" s="24">
        <f>'[1]JUL 15'!E33</f>
        <v>11.47</v>
      </c>
      <c r="F20" s="24">
        <f>'[1]JUL 15'!F33</f>
        <v>11.47</v>
      </c>
      <c r="G20" s="24">
        <f>'[1]JUL 15'!G33</f>
        <v>11.47</v>
      </c>
      <c r="H20" s="24">
        <f>'[1]JUL 15'!H33</f>
        <v>11.47</v>
      </c>
      <c r="I20" s="24">
        <f>'[1]JUL 15'!I33</f>
        <v>11.47</v>
      </c>
      <c r="J20" s="24">
        <f>'[1]JUL 15'!J33</f>
        <v>11.47</v>
      </c>
      <c r="K20" s="24">
        <f>'[1]JUL 15'!K33</f>
        <v>11.47</v>
      </c>
      <c r="L20" s="24">
        <f>'[1]JUL 15'!L33</f>
        <v>11.47</v>
      </c>
      <c r="M20" s="24">
        <f>'[1]JUL 15'!M33</f>
        <v>11.47</v>
      </c>
      <c r="N20" s="24">
        <f>'[1]JUL 15'!N33</f>
        <v>11.47</v>
      </c>
      <c r="O20" s="24">
        <f>'[1]JUL 15'!O33</f>
        <v>11.47</v>
      </c>
      <c r="P20" s="24">
        <f>'[1]JUL 15'!P33</f>
        <v>11.47</v>
      </c>
      <c r="Q20" s="24">
        <f>'[1]JUL 15'!Q33</f>
        <v>11.47</v>
      </c>
      <c r="R20" s="24">
        <f>'[1]JUL 15'!R33</f>
        <v>11.47</v>
      </c>
      <c r="S20" s="24">
        <f>'[1]JUL 15'!S33</f>
        <v>11.47</v>
      </c>
      <c r="T20" s="24">
        <f>'[1]JUL 15'!T33</f>
        <v>11.47</v>
      </c>
      <c r="U20" s="24">
        <f>'[1]JUL 15'!U33</f>
        <v>11.47</v>
      </c>
      <c r="V20" s="24">
        <f>'[1]JUL 15'!V33</f>
        <v>11.47</v>
      </c>
      <c r="W20" s="24">
        <f>'[1]JUL 15'!W33</f>
        <v>11.47</v>
      </c>
      <c r="X20" s="24">
        <f>'[1]JUL 15'!X33</f>
        <v>11.47</v>
      </c>
      <c r="Y20" s="24">
        <f>'[1]JUL 15'!Y33</f>
        <v>11.47</v>
      </c>
      <c r="Z20" s="25">
        <f t="shared" si="0"/>
        <v>11.47</v>
      </c>
      <c r="AA20" s="26">
        <v>15</v>
      </c>
      <c r="AB20" s="27">
        <f t="shared" si="1"/>
        <v>11.47</v>
      </c>
      <c r="AC20" s="27">
        <f t="shared" si="2"/>
        <v>11.47</v>
      </c>
    </row>
    <row r="21" spans="1:29" ht="14.25" customHeight="1" x14ac:dyDescent="0.3">
      <c r="A21" s="23">
        <v>16</v>
      </c>
      <c r="B21" s="24">
        <f>'[1]JUL 16'!B33</f>
        <v>11.47</v>
      </c>
      <c r="C21" s="24">
        <f>'[1]JUL 16'!C33</f>
        <v>11.47</v>
      </c>
      <c r="D21" s="24">
        <f>'[1]JUL 16'!D33</f>
        <v>11.47</v>
      </c>
      <c r="E21" s="24">
        <f>'[1]JUL 16'!E33</f>
        <v>11.47</v>
      </c>
      <c r="F21" s="24">
        <f>'[1]JUL 16'!F33</f>
        <v>11.47</v>
      </c>
      <c r="G21" s="24">
        <f>'[1]JUL 16'!G33</f>
        <v>11.47</v>
      </c>
      <c r="H21" s="24">
        <f>'[1]JUL 16'!H33</f>
        <v>11.47</v>
      </c>
      <c r="I21" s="24">
        <f>'[1]JUL 16'!I33</f>
        <v>11.47</v>
      </c>
      <c r="J21" s="24">
        <f>'[1]JUL 16'!J33</f>
        <v>11.47</v>
      </c>
      <c r="K21" s="24">
        <f>'[1]JUL 16'!K33</f>
        <v>11.47</v>
      </c>
      <c r="L21" s="24">
        <f>'[1]JUL 16'!L33</f>
        <v>11.47</v>
      </c>
      <c r="M21" s="24">
        <f>'[1]JUL 16'!M33</f>
        <v>11.47</v>
      </c>
      <c r="N21" s="24">
        <f>'[1]JUL 16'!N33</f>
        <v>11.47</v>
      </c>
      <c r="O21" s="24">
        <f>'[1]JUL 16'!O33</f>
        <v>11.47</v>
      </c>
      <c r="P21" s="24">
        <f>'[1]JUL 16'!P33</f>
        <v>11.47</v>
      </c>
      <c r="Q21" s="24">
        <f>'[1]JUL 16'!Q33</f>
        <v>11.47</v>
      </c>
      <c r="R21" s="24">
        <f>'[1]JUL 16'!R33</f>
        <v>11.47</v>
      </c>
      <c r="S21" s="24">
        <f>'[1]JUL 16'!S33</f>
        <v>11.47</v>
      </c>
      <c r="T21" s="24">
        <f>'[1]JUL 16'!T33</f>
        <v>11.47</v>
      </c>
      <c r="U21" s="24">
        <f>'[1]JUL 16'!U33</f>
        <v>11.47</v>
      </c>
      <c r="V21" s="24">
        <f>'[1]JUL 16'!V33</f>
        <v>11.47</v>
      </c>
      <c r="W21" s="24">
        <f>'[1]JUL 16'!W33</f>
        <v>11.47</v>
      </c>
      <c r="X21" s="24">
        <f>'[1]JUL 16'!X33</f>
        <v>11.47</v>
      </c>
      <c r="Y21" s="24">
        <f>'[1]JUL 16'!Y33</f>
        <v>11.47</v>
      </c>
      <c r="Z21" s="25">
        <f t="shared" si="0"/>
        <v>11.47</v>
      </c>
      <c r="AA21" s="26">
        <v>16</v>
      </c>
      <c r="AB21" s="27">
        <f t="shared" si="1"/>
        <v>11.47</v>
      </c>
      <c r="AC21" s="27">
        <f t="shared" si="2"/>
        <v>11.47</v>
      </c>
    </row>
    <row r="22" spans="1:29" ht="14.25" customHeight="1" x14ac:dyDescent="0.3">
      <c r="A22" s="23">
        <v>17</v>
      </c>
      <c r="B22" s="24">
        <f>'[1]JUL 17'!B33</f>
        <v>11.46</v>
      </c>
      <c r="C22" s="24">
        <f>'[1]JUL 17'!C33</f>
        <v>11.46</v>
      </c>
      <c r="D22" s="24">
        <f>'[1]JUL 17'!D33</f>
        <v>11.46</v>
      </c>
      <c r="E22" s="24">
        <f>'[1]JUL 17'!E33</f>
        <v>11.46</v>
      </c>
      <c r="F22" s="24">
        <f>'[1]JUL 17'!F33</f>
        <v>11.46</v>
      </c>
      <c r="G22" s="24">
        <f>'[1]JUL 17'!G33</f>
        <v>11.46</v>
      </c>
      <c r="H22" s="24">
        <f>'[1]JUL 17'!H33</f>
        <v>11.46</v>
      </c>
      <c r="I22" s="24">
        <f>'[1]JUL 17'!I33</f>
        <v>11.46</v>
      </c>
      <c r="J22" s="24">
        <f>'[1]JUL 17'!J33</f>
        <v>11.46</v>
      </c>
      <c r="K22" s="24">
        <f>'[1]JUL 17'!K33</f>
        <v>11.46</v>
      </c>
      <c r="L22" s="24">
        <f>'[1]JUL 17'!L33</f>
        <v>11.46</v>
      </c>
      <c r="M22" s="24">
        <f>'[1]JUL 17'!M33</f>
        <v>11.46</v>
      </c>
      <c r="N22" s="24">
        <f>'[1]JUL 17'!N33</f>
        <v>11.46</v>
      </c>
      <c r="O22" s="24">
        <f>'[1]JUL 17'!O33</f>
        <v>11.46</v>
      </c>
      <c r="P22" s="24">
        <f>'[1]JUL 17'!P33</f>
        <v>11.46</v>
      </c>
      <c r="Q22" s="24">
        <f>'[1]JUL 17'!Q33</f>
        <v>11.46</v>
      </c>
      <c r="R22" s="24">
        <f>'[1]JUL 17'!R33</f>
        <v>11.46</v>
      </c>
      <c r="S22" s="24">
        <f>'[1]JUL 17'!S33</f>
        <v>11.46</v>
      </c>
      <c r="T22" s="24">
        <f>'[1]JUL 17'!T33</f>
        <v>11.46</v>
      </c>
      <c r="U22" s="24">
        <f>'[1]JUL 17'!U33</f>
        <v>11.46</v>
      </c>
      <c r="V22" s="24">
        <f>'[1]JUL 17'!V33</f>
        <v>11.46</v>
      </c>
      <c r="W22" s="24">
        <f>'[1]JUL 17'!W33</f>
        <v>11.46</v>
      </c>
      <c r="X22" s="24">
        <f>'[1]JUL 17'!X33</f>
        <v>11.46</v>
      </c>
      <c r="Y22" s="24">
        <f>'[1]JUL 17'!Y33</f>
        <v>11.46</v>
      </c>
      <c r="Z22" s="25">
        <f t="shared" si="0"/>
        <v>11.460000000000003</v>
      </c>
      <c r="AA22" s="26">
        <v>17</v>
      </c>
      <c r="AB22" s="27">
        <f>MAX(B22:Y22)</f>
        <v>11.46</v>
      </c>
      <c r="AC22" s="27">
        <f>MIN(B22:Y22)</f>
        <v>11.46</v>
      </c>
    </row>
    <row r="23" spans="1:29" ht="14.25" customHeight="1" x14ac:dyDescent="0.3">
      <c r="A23" s="23">
        <v>18</v>
      </c>
      <c r="B23" s="24">
        <f>'[1]JUL 18'!B33</f>
        <v>11.46</v>
      </c>
      <c r="C23" s="24">
        <f>'[1]JUL 18'!C33</f>
        <v>11.46</v>
      </c>
      <c r="D23" s="24">
        <f>'[1]JUL 18'!D33</f>
        <v>11.46</v>
      </c>
      <c r="E23" s="24">
        <f>'[1]JUL 18'!E33</f>
        <v>11.46</v>
      </c>
      <c r="F23" s="24">
        <f>'[1]JUL 18'!F33</f>
        <v>11.46</v>
      </c>
      <c r="G23" s="24">
        <f>'[1]JUL 18'!G33</f>
        <v>11.46</v>
      </c>
      <c r="H23" s="24">
        <f>'[1]JUL 18'!H33</f>
        <v>11.46</v>
      </c>
      <c r="I23" s="24">
        <f>'[1]JUL 18'!I33</f>
        <v>11.46</v>
      </c>
      <c r="J23" s="24">
        <f>'[1]JUL 18'!J33</f>
        <v>11.46</v>
      </c>
      <c r="K23" s="24">
        <f>'[1]JUL 18'!K33</f>
        <v>11.46</v>
      </c>
      <c r="L23" s="24">
        <f>'[1]JUL 18'!L33</f>
        <v>11.46</v>
      </c>
      <c r="M23" s="24">
        <f>'[1]JUL 18'!M33</f>
        <v>11.46</v>
      </c>
      <c r="N23" s="24">
        <f>'[1]JUL 18'!N33</f>
        <v>11.46</v>
      </c>
      <c r="O23" s="24">
        <f>'[1]JUL 18'!O33</f>
        <v>11.46</v>
      </c>
      <c r="P23" s="24">
        <f>'[1]JUL 18'!P33</f>
        <v>11.46</v>
      </c>
      <c r="Q23" s="24">
        <f>'[1]JUL 18'!Q33</f>
        <v>11.46</v>
      </c>
      <c r="R23" s="24">
        <f>'[1]JUL 18'!R33</f>
        <v>11.46</v>
      </c>
      <c r="S23" s="24">
        <f>'[1]JUL 18'!S33</f>
        <v>11.46</v>
      </c>
      <c r="T23" s="24">
        <f>'[1]JUL 18'!T33</f>
        <v>11.46</v>
      </c>
      <c r="U23" s="24">
        <f>'[1]JUL 18'!U33</f>
        <v>11.46</v>
      </c>
      <c r="V23" s="24">
        <f>'[1]JUL 18'!V33</f>
        <v>11.46</v>
      </c>
      <c r="W23" s="24">
        <f>'[1]JUL 18'!W33</f>
        <v>11.46</v>
      </c>
      <c r="X23" s="24">
        <f>'[1]JUL 18'!X33</f>
        <v>11.46</v>
      </c>
      <c r="Y23" s="24">
        <f>'[1]JUL 18'!Y33</f>
        <v>11.46</v>
      </c>
      <c r="Z23" s="25">
        <f t="shared" si="0"/>
        <v>11.460000000000003</v>
      </c>
      <c r="AA23" s="26">
        <v>18</v>
      </c>
      <c r="AB23" s="27">
        <f t="shared" si="1"/>
        <v>11.46</v>
      </c>
      <c r="AC23" s="27">
        <f t="shared" si="2"/>
        <v>11.46</v>
      </c>
    </row>
    <row r="24" spans="1:29" ht="14.25" customHeight="1" x14ac:dyDescent="0.3">
      <c r="A24" s="23">
        <v>19</v>
      </c>
      <c r="B24" s="24">
        <f>'[1]JUL 19'!B33</f>
        <v>11.46</v>
      </c>
      <c r="C24" s="24">
        <f>'[1]JUL 19'!C33</f>
        <v>11.46</v>
      </c>
      <c r="D24" s="24">
        <f>'[1]JUL 19'!D33</f>
        <v>11.46</v>
      </c>
      <c r="E24" s="24">
        <f>'[1]JUL 19'!E33</f>
        <v>11.46</v>
      </c>
      <c r="F24" s="24">
        <f>'[1]JUL 19'!F33</f>
        <v>11.46</v>
      </c>
      <c r="G24" s="24">
        <f>'[1]JUL 19'!G33</f>
        <v>11.46</v>
      </c>
      <c r="H24" s="24">
        <f>'[1]JUL 19'!H33</f>
        <v>11.46</v>
      </c>
      <c r="I24" s="24">
        <f>'[1]JUL 19'!I33</f>
        <v>11.46</v>
      </c>
      <c r="J24" s="24">
        <f>'[1]JUL 19'!J33</f>
        <v>11.46</v>
      </c>
      <c r="K24" s="24">
        <f>'[1]JUL 19'!K33</f>
        <v>11.46</v>
      </c>
      <c r="L24" s="24">
        <f>'[1]JUL 19'!L33</f>
        <v>11.46</v>
      </c>
      <c r="M24" s="24">
        <f>'[1]JUL 19'!M33</f>
        <v>11.46</v>
      </c>
      <c r="N24" s="24">
        <f>'[1]JUL 19'!N33</f>
        <v>11.46</v>
      </c>
      <c r="O24" s="24">
        <f>'[1]JUL 19'!O33</f>
        <v>11.46</v>
      </c>
      <c r="P24" s="24">
        <f>'[1]JUL 19'!P33</f>
        <v>11.46</v>
      </c>
      <c r="Q24" s="24">
        <f>'[1]JUL 19'!Q33</f>
        <v>11.46</v>
      </c>
      <c r="R24" s="24">
        <f>'[1]JUL 19'!R33</f>
        <v>11.46</v>
      </c>
      <c r="S24" s="24">
        <f>'[1]JUL 19'!S33</f>
        <v>11.46</v>
      </c>
      <c r="T24" s="24">
        <f>'[1]JUL 19'!T33</f>
        <v>11.46</v>
      </c>
      <c r="U24" s="24">
        <f>'[1]JUL 19'!U33</f>
        <v>11.46</v>
      </c>
      <c r="V24" s="24">
        <f>'[1]JUL 19'!V33</f>
        <v>11.46</v>
      </c>
      <c r="W24" s="24">
        <f>'[1]JUL 19'!W33</f>
        <v>11.46</v>
      </c>
      <c r="X24" s="24">
        <f>'[1]JUL 19'!X33</f>
        <v>11.45</v>
      </c>
      <c r="Y24" s="24">
        <f>'[1]JUL 19'!Y33</f>
        <v>11.45</v>
      </c>
      <c r="Z24" s="25">
        <f t="shared" si="0"/>
        <v>11.45916666666667</v>
      </c>
      <c r="AA24" s="26">
        <v>19</v>
      </c>
      <c r="AB24" s="27">
        <f t="shared" si="1"/>
        <v>11.46</v>
      </c>
      <c r="AC24" s="27">
        <f t="shared" si="2"/>
        <v>11.45</v>
      </c>
    </row>
    <row r="25" spans="1:29" ht="14.25" customHeight="1" x14ac:dyDescent="0.3">
      <c r="A25" s="23">
        <v>20</v>
      </c>
      <c r="B25" s="24">
        <f>'[1]JUL 20'!B33</f>
        <v>11.45</v>
      </c>
      <c r="C25" s="24">
        <f>'[1]JUL 20'!C33</f>
        <v>11.45</v>
      </c>
      <c r="D25" s="24">
        <f>'[1]JUL 20'!D33</f>
        <v>11.45</v>
      </c>
      <c r="E25" s="24">
        <f>'[1]JUL 20'!E33</f>
        <v>11.45</v>
      </c>
      <c r="F25" s="24">
        <f>'[1]JUL 20'!F33</f>
        <v>11.45</v>
      </c>
      <c r="G25" s="24">
        <f>'[1]JUL 20'!G33</f>
        <v>11.45</v>
      </c>
      <c r="H25" s="24">
        <f>'[1]JUL 20'!H33</f>
        <v>11.45</v>
      </c>
      <c r="I25" s="24">
        <f>'[1]JUL 20'!I33</f>
        <v>11.45</v>
      </c>
      <c r="J25" s="24">
        <f>'[1]JUL 20'!J33</f>
        <v>11.45</v>
      </c>
      <c r="K25" s="24">
        <f>'[1]JUL 20'!K33</f>
        <v>11.45</v>
      </c>
      <c r="L25" s="24">
        <f>'[1]JUL 20'!L33</f>
        <v>11.45</v>
      </c>
      <c r="M25" s="24">
        <f>'[1]JUL 20'!M33</f>
        <v>11.45</v>
      </c>
      <c r="N25" s="24">
        <f>'[1]JUL 20'!N33</f>
        <v>11.45</v>
      </c>
      <c r="O25" s="24">
        <f>'[1]JUL 20'!O33</f>
        <v>11.45</v>
      </c>
      <c r="P25" s="24">
        <f>'[1]JUL 20'!P33</f>
        <v>11.45</v>
      </c>
      <c r="Q25" s="24">
        <f>'[1]JUL 20'!Q33</f>
        <v>11.45</v>
      </c>
      <c r="R25" s="24">
        <f>'[1]JUL 20'!R33</f>
        <v>11.45</v>
      </c>
      <c r="S25" s="24">
        <f>'[1]JUL 20'!S33</f>
        <v>11.45</v>
      </c>
      <c r="T25" s="24">
        <f>'[1]JUL 20'!T33</f>
        <v>11.45</v>
      </c>
      <c r="U25" s="24">
        <f>'[1]JUL 20'!U33</f>
        <v>11.45</v>
      </c>
      <c r="V25" s="24">
        <f>'[1]JUL 20'!V33</f>
        <v>11.45</v>
      </c>
      <c r="W25" s="24">
        <f>'[1]JUL 20'!W33</f>
        <v>11.45</v>
      </c>
      <c r="X25" s="24">
        <f>'[1]JUL 20'!X33</f>
        <v>11.45</v>
      </c>
      <c r="Y25" s="24">
        <f>'[1]JUL 20'!Y33</f>
        <v>11.45</v>
      </c>
      <c r="Z25" s="25">
        <f t="shared" si="0"/>
        <v>11.449999999999996</v>
      </c>
      <c r="AA25" s="26">
        <v>20</v>
      </c>
      <c r="AB25" s="27">
        <f t="shared" si="1"/>
        <v>11.45</v>
      </c>
      <c r="AC25" s="27">
        <f t="shared" si="2"/>
        <v>11.45</v>
      </c>
    </row>
    <row r="26" spans="1:29" ht="14.25" customHeight="1" x14ac:dyDescent="0.3">
      <c r="A26" s="23">
        <v>21</v>
      </c>
      <c r="B26" s="24">
        <f>'[1]JUL 21'!B33</f>
        <v>11.45</v>
      </c>
      <c r="C26" s="24">
        <f>'[1]JUL 21'!C33</f>
        <v>11.45</v>
      </c>
      <c r="D26" s="24">
        <f>'[1]JUL 21'!D33</f>
        <v>11.45</v>
      </c>
      <c r="E26" s="24">
        <f>'[1]JUL 21'!E33</f>
        <v>11.45</v>
      </c>
      <c r="F26" s="24">
        <f>'[1]JUL 21'!F33</f>
        <v>11.45</v>
      </c>
      <c r="G26" s="24">
        <f>'[1]JUL 21'!G33</f>
        <v>11.45</v>
      </c>
      <c r="H26" s="24">
        <f>'[1]JUL 21'!H33</f>
        <v>11.45</v>
      </c>
      <c r="I26" s="24">
        <f>'[1]JUL 21'!I33</f>
        <v>11.45</v>
      </c>
      <c r="J26" s="24">
        <f>'[1]JUL 21'!J33</f>
        <v>11.45</v>
      </c>
      <c r="K26" s="24">
        <f>'[1]JUL 21'!K33</f>
        <v>11.45</v>
      </c>
      <c r="L26" s="24">
        <f>'[1]JUL 21'!L33</f>
        <v>11.45</v>
      </c>
      <c r="M26" s="24">
        <f>'[1]JUL 21'!M33</f>
        <v>11.45</v>
      </c>
      <c r="N26" s="24">
        <f>'[1]JUL 21'!N33</f>
        <v>11.45</v>
      </c>
      <c r="O26" s="24">
        <f>'[1]JUL 21'!O33</f>
        <v>11.45</v>
      </c>
      <c r="P26" s="24">
        <f>'[1]JUL 21'!P33</f>
        <v>11.45</v>
      </c>
      <c r="Q26" s="24">
        <f>'[1]JUL 21'!Q33</f>
        <v>11.45</v>
      </c>
      <c r="R26" s="24">
        <f>'[1]JUL 21'!R33</f>
        <v>11.45</v>
      </c>
      <c r="S26" s="24">
        <f>'[1]JUL 21'!S33</f>
        <v>11.45</v>
      </c>
      <c r="T26" s="24">
        <f>'[1]JUL 21'!T33</f>
        <v>11.45</v>
      </c>
      <c r="U26" s="24">
        <f>'[1]JUL 21'!U33</f>
        <v>11.45</v>
      </c>
      <c r="V26" s="24">
        <f>'[1]JUL 21'!V33</f>
        <v>11.45</v>
      </c>
      <c r="W26" s="24">
        <f>'[1]JUL 21'!W33</f>
        <v>11.45</v>
      </c>
      <c r="X26" s="24">
        <f>'[1]JUL 21'!X33</f>
        <v>11.45</v>
      </c>
      <c r="Y26" s="24">
        <f>'[1]JUL 21'!Y33</f>
        <v>11.45</v>
      </c>
      <c r="Z26" s="25">
        <f t="shared" si="0"/>
        <v>11.449999999999996</v>
      </c>
      <c r="AA26" s="26">
        <v>21</v>
      </c>
      <c r="AB26" s="27">
        <f t="shared" si="1"/>
        <v>11.45</v>
      </c>
      <c r="AC26" s="27">
        <f t="shared" si="2"/>
        <v>11.45</v>
      </c>
    </row>
    <row r="27" spans="1:29" ht="14.25" customHeight="1" x14ac:dyDescent="0.3">
      <c r="A27" s="23">
        <v>22</v>
      </c>
      <c r="B27" s="24">
        <f>'[1]JUL 22'!B33</f>
        <v>11.45</v>
      </c>
      <c r="C27" s="24">
        <f>'[1]JUL 22'!C33</f>
        <v>11.45</v>
      </c>
      <c r="D27" s="24">
        <f>'[1]JUL 22'!D33</f>
        <v>11.45</v>
      </c>
      <c r="E27" s="24">
        <f>'[1]JUL 22'!E33</f>
        <v>11.45</v>
      </c>
      <c r="F27" s="24">
        <f>'[1]JUL 22'!F33</f>
        <v>11.45</v>
      </c>
      <c r="G27" s="24">
        <f>'[1]JUL 22'!G33</f>
        <v>11.45</v>
      </c>
      <c r="H27" s="24">
        <f>'[1]JUL 22'!H33</f>
        <v>11.45</v>
      </c>
      <c r="I27" s="24">
        <f>'[1]JUL 22'!I33</f>
        <v>11.52</v>
      </c>
      <c r="J27" s="24">
        <f>'[1]JUL 22'!J33</f>
        <v>11.72</v>
      </c>
      <c r="K27" s="24">
        <f>'[1]JUL 22'!K33</f>
        <v>11.72</v>
      </c>
      <c r="L27" s="24">
        <f>'[1]JUL 22'!L33</f>
        <v>12.02</v>
      </c>
      <c r="M27" s="24">
        <f>'[1]JUL 22'!M33</f>
        <v>12.09</v>
      </c>
      <c r="N27" s="24">
        <f>'[1]JUL 22'!N33</f>
        <v>12.54</v>
      </c>
      <c r="O27" s="24">
        <f>'[1]JUL 22'!O33</f>
        <v>12.77</v>
      </c>
      <c r="P27" s="24">
        <f>'[1]JUL 22'!P33</f>
        <v>13</v>
      </c>
      <c r="Q27" s="24">
        <f>'[1]JUL 22'!Q33</f>
        <v>13.11</v>
      </c>
      <c r="R27" s="24">
        <f>'[1]JUL 22'!R33</f>
        <v>13.07</v>
      </c>
      <c r="S27" s="24">
        <f>'[1]JUL 22'!S33</f>
        <v>13.04</v>
      </c>
      <c r="T27" s="24">
        <f>'[1]JUL 22'!T33</f>
        <v>12.96</v>
      </c>
      <c r="U27" s="24">
        <f>'[1]JUL 22'!U33</f>
        <v>12.89</v>
      </c>
      <c r="V27" s="24">
        <f>'[1]JUL 22'!V33</f>
        <v>12.81</v>
      </c>
      <c r="W27" s="24">
        <f>'[1]JUL 22'!W33</f>
        <v>12.76</v>
      </c>
      <c r="X27" s="24">
        <f>'[1]JUL 22'!X33</f>
        <v>12.74</v>
      </c>
      <c r="Y27" s="24">
        <f>'[1]JUL 22'!Y33</f>
        <v>12.73</v>
      </c>
      <c r="Z27" s="25">
        <f t="shared" si="0"/>
        <v>12.234999999999999</v>
      </c>
      <c r="AA27" s="26">
        <v>22</v>
      </c>
      <c r="AB27" s="27">
        <f t="shared" si="1"/>
        <v>13.11</v>
      </c>
      <c r="AC27" s="27">
        <f t="shared" si="2"/>
        <v>11.45</v>
      </c>
    </row>
    <row r="28" spans="1:29" ht="14.25" customHeight="1" x14ac:dyDescent="0.3">
      <c r="A28" s="23">
        <v>23</v>
      </c>
      <c r="B28" s="24">
        <f>'[1]JUL 23'!B33</f>
        <v>12.77</v>
      </c>
      <c r="C28" s="24">
        <f>'[1]JUL 23'!C33</f>
        <v>12.74</v>
      </c>
      <c r="D28" s="24">
        <f>'[1]JUL 23'!D33</f>
        <v>12.79</v>
      </c>
      <c r="E28" s="24">
        <f>'[1]JUL 23'!E33</f>
        <v>13.54</v>
      </c>
      <c r="F28" s="24">
        <f>'[1]JUL 23'!F33</f>
        <v>13.81</v>
      </c>
      <c r="G28" s="24">
        <f>'[1]JUL 23'!G33</f>
        <v>13.9</v>
      </c>
      <c r="H28" s="24">
        <f>'[1]JUL 23'!H33</f>
        <v>13.87</v>
      </c>
      <c r="I28" s="24">
        <f>'[1]JUL 23'!I33</f>
        <v>13.8</v>
      </c>
      <c r="J28" s="24">
        <f>'[1]JUL 23'!J33</f>
        <v>13.7</v>
      </c>
      <c r="K28" s="24">
        <f>'[1]JUL 23'!K33</f>
        <v>13.76</v>
      </c>
      <c r="L28" s="24">
        <f>'[1]JUL 23'!L33</f>
        <v>13.8</v>
      </c>
      <c r="M28" s="24">
        <f>'[1]JUL 23'!M33</f>
        <v>13.8</v>
      </c>
      <c r="N28" s="24">
        <f>'[1]JUL 23'!N33</f>
        <v>13.71</v>
      </c>
      <c r="O28" s="24">
        <f>'[1]JUL 23'!O33</f>
        <v>13.64</v>
      </c>
      <c r="P28" s="24">
        <f>'[1]JUL 23'!P33</f>
        <v>13.54</v>
      </c>
      <c r="Q28" s="24" t="str">
        <f>'[1]JUL 23'!Q33</f>
        <v>**</v>
      </c>
      <c r="R28" s="24">
        <f>'[1]JUL 23'!R33</f>
        <v>13.42</v>
      </c>
      <c r="S28" s="24">
        <f>'[1]JUL 23'!S33</f>
        <v>13.36</v>
      </c>
      <c r="T28" s="24">
        <f>'[1]JUL 23'!T33</f>
        <v>13.27</v>
      </c>
      <c r="U28" s="24">
        <f>'[1]JUL 23'!U33</f>
        <v>13.49</v>
      </c>
      <c r="V28" s="24">
        <f>'[1]JUL 23'!V33</f>
        <v>14.18</v>
      </c>
      <c r="W28" s="24">
        <f>'[1]JUL 23'!W33</f>
        <v>15.18</v>
      </c>
      <c r="X28" s="24">
        <f>'[1]JUL 23'!X33</f>
        <v>15.88</v>
      </c>
      <c r="Y28" s="24">
        <f>'[1]JUL 23'!Y33</f>
        <v>16.190000000000001</v>
      </c>
      <c r="Z28" s="25">
        <f t="shared" si="0"/>
        <v>13.83217391304348</v>
      </c>
      <c r="AA28" s="26">
        <v>23</v>
      </c>
      <c r="AB28" s="27">
        <f t="shared" si="1"/>
        <v>16.190000000000001</v>
      </c>
      <c r="AC28" s="27">
        <f t="shared" si="2"/>
        <v>12.74</v>
      </c>
    </row>
    <row r="29" spans="1:29" ht="14.25" customHeight="1" x14ac:dyDescent="0.3">
      <c r="A29" s="23">
        <v>24</v>
      </c>
      <c r="B29" s="24">
        <f>'[1]JUL 24'!B33</f>
        <v>16.7</v>
      </c>
      <c r="C29" s="24">
        <f>'[1]JUL 24'!C33</f>
        <v>17.45</v>
      </c>
      <c r="D29" s="24">
        <f>'[1]JUL 24'!D33</f>
        <v>17.920000000000002</v>
      </c>
      <c r="E29" s="24">
        <f>'[1]JUL 24'!E33</f>
        <v>18.62</v>
      </c>
      <c r="F29" s="24" t="str">
        <f>'[1]JUL 24'!F33</f>
        <v xml:space="preserve">                                                                 </v>
      </c>
      <c r="G29" s="24">
        <f>'[1]JUL 24'!G33</f>
        <v>19.45</v>
      </c>
      <c r="H29" s="24">
        <f>'[1]JUL 24'!H33</f>
        <v>19.82</v>
      </c>
      <c r="I29" s="24">
        <f>'[1]JUL 24'!I33</f>
        <v>19.97</v>
      </c>
      <c r="J29" s="24">
        <f>'[1]JUL 24'!J33</f>
        <v>20.100000000000001</v>
      </c>
      <c r="K29" s="24">
        <f>'[1]JUL 24'!K33</f>
        <v>20.02</v>
      </c>
      <c r="L29" s="24">
        <f>'[1]JUL 24'!L33</f>
        <v>19.38</v>
      </c>
      <c r="M29" s="24">
        <f>'[1]JUL 24'!M33</f>
        <v>19.38</v>
      </c>
      <c r="N29" s="24">
        <f>'[1]JUL 24'!N33</f>
        <v>18.899999999999999</v>
      </c>
      <c r="O29" s="24">
        <f>'[1]JUL 24'!O33</f>
        <v>18.34</v>
      </c>
      <c r="P29" s="24">
        <f>'[1]JUL 24'!P33</f>
        <v>17.75</v>
      </c>
      <c r="Q29" s="24">
        <f>'[1]JUL 24'!Q33</f>
        <v>17.21</v>
      </c>
      <c r="R29" s="24">
        <f>'[1]JUL 24'!R33</f>
        <v>16.7</v>
      </c>
      <c r="S29" s="24">
        <f>'[1]JUL 24'!S33</f>
        <v>16.21</v>
      </c>
      <c r="T29" s="24">
        <f>'[1]JUL 24'!T33</f>
        <v>15.89</v>
      </c>
      <c r="U29" s="24">
        <f>'[1]JUL 24'!U33</f>
        <v>15.6</v>
      </c>
      <c r="V29" s="24">
        <f>'[1]JUL 24'!V33</f>
        <v>15.93</v>
      </c>
      <c r="W29" s="24">
        <f>'[1]JUL 24'!W33</f>
        <v>15.29</v>
      </c>
      <c r="X29" s="24">
        <f>'[1]JUL 24'!X33</f>
        <v>15.12</v>
      </c>
      <c r="Y29" s="24">
        <f>'[1]JUL 24'!Y33</f>
        <v>15.1</v>
      </c>
      <c r="Z29" s="25">
        <f t="shared" si="0"/>
        <v>17.689130434782609</v>
      </c>
      <c r="AA29" s="26">
        <v>24</v>
      </c>
      <c r="AB29" s="27">
        <f t="shared" si="1"/>
        <v>20.100000000000001</v>
      </c>
      <c r="AC29" s="27">
        <f>MIN(B29:Y29)</f>
        <v>15.1</v>
      </c>
    </row>
    <row r="30" spans="1:29" ht="14.25" customHeight="1" x14ac:dyDescent="0.3">
      <c r="A30" s="23">
        <v>25</v>
      </c>
      <c r="B30" s="24">
        <f>'[1]JUL 25'!B33</f>
        <v>15.03</v>
      </c>
      <c r="C30" s="24">
        <f>'[1]JUL 25'!C33</f>
        <v>14.97</v>
      </c>
      <c r="D30" s="24">
        <f>'[1]JUL 25'!D33</f>
        <v>14.89</v>
      </c>
      <c r="E30" s="24">
        <f>'[1]JUL 25'!E33</f>
        <v>14.81</v>
      </c>
      <c r="F30" s="24">
        <f>'[1]JUL 25'!F33</f>
        <v>14.7</v>
      </c>
      <c r="G30" s="24">
        <f>'[1]JUL 25'!G33</f>
        <v>14.65</v>
      </c>
      <c r="H30" s="24">
        <f>'[1]JUL 25'!H33</f>
        <v>14.58</v>
      </c>
      <c r="I30" s="24">
        <f>'[1]JUL 25'!I33</f>
        <v>14.53</v>
      </c>
      <c r="J30" s="24">
        <f>'[1]JUL 25'!J33</f>
        <v>14.46</v>
      </c>
      <c r="K30" s="24">
        <f>'[1]JUL 25'!K33</f>
        <v>14.42</v>
      </c>
      <c r="L30" s="24">
        <f>'[1]JUL 25'!L33</f>
        <v>14.37</v>
      </c>
      <c r="M30" s="24">
        <f>'[1]JUL 25'!M33</f>
        <v>14.34</v>
      </c>
      <c r="N30" s="24">
        <f>'[1]JUL 25'!N33</f>
        <v>14.31</v>
      </c>
      <c r="O30" s="24">
        <f>'[1]JUL 25'!O33</f>
        <v>14.27</v>
      </c>
      <c r="P30" s="24">
        <f>'[1]JUL 25'!P33</f>
        <v>14.22</v>
      </c>
      <c r="Q30" s="24">
        <f>'[1]JUL 25'!Q33</f>
        <v>14.18</v>
      </c>
      <c r="R30" s="24">
        <f>'[1]JUL 25'!R33</f>
        <v>14.17</v>
      </c>
      <c r="S30" s="24">
        <f>'[1]JUL 25'!S33</f>
        <v>14.17</v>
      </c>
      <c r="T30" s="24">
        <f>'[1]JUL 25'!T33</f>
        <v>14.1</v>
      </c>
      <c r="U30" s="24">
        <f>'[1]JUL 25'!U33</f>
        <v>14.06</v>
      </c>
      <c r="V30" s="24">
        <f>'[1]JUL 25'!V33</f>
        <v>14.04</v>
      </c>
      <c r="W30" s="24">
        <f>'[1]JUL 25'!W33</f>
        <v>14.02</v>
      </c>
      <c r="X30" s="24">
        <f>'[1]JUL 25'!X33</f>
        <v>14</v>
      </c>
      <c r="Y30" s="24">
        <f>'[1]JUL 25'!Y33</f>
        <v>13.99</v>
      </c>
      <c r="Z30" s="25">
        <f t="shared" si="0"/>
        <v>14.386666666666668</v>
      </c>
      <c r="AA30" s="26">
        <v>25</v>
      </c>
      <c r="AB30" s="27">
        <f t="shared" si="1"/>
        <v>15.03</v>
      </c>
      <c r="AC30" s="27">
        <f t="shared" si="2"/>
        <v>13.99</v>
      </c>
    </row>
    <row r="31" spans="1:29" ht="14.25" customHeight="1" x14ac:dyDescent="0.3">
      <c r="A31" s="23">
        <v>26</v>
      </c>
      <c r="B31" s="24">
        <f>'[1]JUL 26'!B33</f>
        <v>13.97</v>
      </c>
      <c r="C31" s="24">
        <f>'[1]JUL 26'!C33</f>
        <v>13.97</v>
      </c>
      <c r="D31" s="24">
        <f>'[1]JUL 26'!D33</f>
        <v>13.99</v>
      </c>
      <c r="E31" s="24">
        <f>'[1]JUL 26'!E33</f>
        <v>13.97</v>
      </c>
      <c r="F31" s="24">
        <f>'[1]JUL 26'!F33</f>
        <v>13.95</v>
      </c>
      <c r="G31" s="24">
        <f>'[1]JUL 26'!G33</f>
        <v>13.93</v>
      </c>
      <c r="H31" s="24">
        <f>'[1]JUL 26'!H33</f>
        <v>13.91</v>
      </c>
      <c r="I31" s="24">
        <f>'[1]JUL 26'!I33</f>
        <v>13.88</v>
      </c>
      <c r="J31" s="24">
        <f>'[1]JUL 26'!J33</f>
        <v>13.86</v>
      </c>
      <c r="K31" s="24">
        <f>'[1]JUL 26'!K33</f>
        <v>13.84</v>
      </c>
      <c r="L31" s="24">
        <f>'[1]JUL 26'!L33</f>
        <v>13.82</v>
      </c>
      <c r="M31" s="24">
        <f>'[1]JUL 26'!M33</f>
        <v>13.8</v>
      </c>
      <c r="N31" s="24">
        <f>'[1]JUL 26'!N33</f>
        <v>13.77</v>
      </c>
      <c r="O31" s="24">
        <f>'[1]JUL 26'!O33</f>
        <v>13.76</v>
      </c>
      <c r="P31" s="24" t="str">
        <f>'[1]JUL 26'!P33</f>
        <v>**</v>
      </c>
      <c r="Q31" s="24">
        <f>'[1]JUL 26'!Q33</f>
        <v>13.73</v>
      </c>
      <c r="R31" s="24">
        <f>'[1]JUL 26'!R33</f>
        <v>13.72</v>
      </c>
      <c r="S31" s="24" t="str">
        <f>'[1]JUL 26'!S33</f>
        <v>**</v>
      </c>
      <c r="T31" s="24" t="str">
        <f>'[1]JUL 26'!T33</f>
        <v>**</v>
      </c>
      <c r="U31" s="24" t="str">
        <f>'[1]JUL 26'!U33</f>
        <v>**</v>
      </c>
      <c r="V31" s="24">
        <f>'[1]JUL 26'!V33</f>
        <v>13.66</v>
      </c>
      <c r="W31" s="24" t="str">
        <f>'[1]JUL 26'!W33</f>
        <v>**</v>
      </c>
      <c r="X31" s="24">
        <f>'[1]JUL 26'!X33</f>
        <v>13.63</v>
      </c>
      <c r="Y31" s="24">
        <f>'[1]JUL 26'!Y33</f>
        <v>13.62</v>
      </c>
      <c r="Z31" s="25">
        <f t="shared" si="0"/>
        <v>13.830526315789472</v>
      </c>
      <c r="AA31" s="26">
        <v>26</v>
      </c>
      <c r="AB31" s="27">
        <f t="shared" si="1"/>
        <v>13.99</v>
      </c>
      <c r="AC31" s="27">
        <f>MIN(B31:Y31)</f>
        <v>13.62</v>
      </c>
    </row>
    <row r="32" spans="1:29" ht="14.25" customHeight="1" x14ac:dyDescent="0.3">
      <c r="A32" s="23">
        <v>27</v>
      </c>
      <c r="B32" s="24">
        <f>'[1]JUL 27'!B33</f>
        <v>13.6</v>
      </c>
      <c r="C32" s="24">
        <f>'[1]JUL 27'!C33</f>
        <v>13.59</v>
      </c>
      <c r="D32" s="24">
        <f>'[1]JUL 27'!D33</f>
        <v>13.58</v>
      </c>
      <c r="E32" s="24">
        <f>'[1]JUL 27'!E33</f>
        <v>13.57</v>
      </c>
      <c r="F32" s="24">
        <f>'[1]JUL 27'!F33</f>
        <v>13.55</v>
      </c>
      <c r="G32" s="24">
        <f>'[1]JUL 27'!G33</f>
        <v>13.55</v>
      </c>
      <c r="H32" s="24">
        <f>'[1]JUL 27'!H33</f>
        <v>13.55</v>
      </c>
      <c r="I32" s="24">
        <f>'[1]JUL 27'!I33</f>
        <v>13.52</v>
      </c>
      <c r="J32" s="24" t="str">
        <f>'[1]JUL 27'!J33</f>
        <v>**</v>
      </c>
      <c r="K32" s="24" t="str">
        <f>'[1]JUL 27'!K33</f>
        <v>**</v>
      </c>
      <c r="L32" s="24" t="str">
        <f>'[1]JUL 27'!L33</f>
        <v>**</v>
      </c>
      <c r="M32" s="24" t="str">
        <f>'[1]JUL 27'!M33</f>
        <v>**</v>
      </c>
      <c r="N32" s="24" t="str">
        <f>'[1]JUL 27'!N33</f>
        <v>**</v>
      </c>
      <c r="O32" s="24" t="str">
        <f>'[1]JUL 27'!O33</f>
        <v>**</v>
      </c>
      <c r="P32" s="24" t="str">
        <f>'[1]JUL 27'!P33</f>
        <v>**</v>
      </c>
      <c r="Q32" s="24" t="str">
        <f>'[1]JUL 27'!Q33</f>
        <v>**</v>
      </c>
      <c r="R32" s="24" t="str">
        <f>'[1]JUL 27'!R33</f>
        <v>**</v>
      </c>
      <c r="S32" s="24" t="str">
        <f>'[1]JUL 27'!S33</f>
        <v>**</v>
      </c>
      <c r="T32" s="24" t="str">
        <f>'[1]JUL 27'!T33</f>
        <v>**</v>
      </c>
      <c r="U32" s="24" t="str">
        <f>'[1]JUL 27'!U33</f>
        <v>**</v>
      </c>
      <c r="V32" s="24" t="str">
        <f>'[1]JUL 27'!V33</f>
        <v>**</v>
      </c>
      <c r="W32" s="24">
        <f>'[1]JUL 27'!W33</f>
        <v>13.32</v>
      </c>
      <c r="X32" s="24">
        <f>'[1]JUL 27'!X33</f>
        <v>13.32</v>
      </c>
      <c r="Y32" s="24" t="str">
        <f>'[1]JUL 27'!Y33</f>
        <v>**</v>
      </c>
      <c r="Z32" s="25">
        <f t="shared" si="0"/>
        <v>13.514999999999997</v>
      </c>
      <c r="AA32" s="26">
        <v>27</v>
      </c>
      <c r="AB32" s="27">
        <f t="shared" si="1"/>
        <v>13.6</v>
      </c>
      <c r="AC32" s="27">
        <f t="shared" si="2"/>
        <v>13.32</v>
      </c>
    </row>
    <row r="33" spans="1:29" ht="14.25" customHeight="1" x14ac:dyDescent="0.3">
      <c r="A33" s="23">
        <v>28</v>
      </c>
      <c r="B33" s="24">
        <f>'[1]JUL 28'!B33</f>
        <v>13.28</v>
      </c>
      <c r="C33" s="24">
        <f>'[1]JUL 28'!C33</f>
        <v>13.28</v>
      </c>
      <c r="D33" s="24">
        <f>'[1]JUL 28'!D33</f>
        <v>13.26</v>
      </c>
      <c r="E33" s="24">
        <f>'[1]JUL 28'!E33</f>
        <v>13.25</v>
      </c>
      <c r="F33" s="24" t="str">
        <f>'[1]JUL 28'!F33</f>
        <v>**</v>
      </c>
      <c r="G33" s="24" t="str">
        <f>'[1]JUL 28'!G33</f>
        <v>**</v>
      </c>
      <c r="H33" s="24" t="str">
        <f>'[1]JUL 28'!H33</f>
        <v>**</v>
      </c>
      <c r="I33" s="24">
        <f>'[1]JUL 28'!I33</f>
        <v>13.54</v>
      </c>
      <c r="J33" s="24">
        <f>'[1]JUL 28'!J33</f>
        <v>13.56</v>
      </c>
      <c r="K33" s="24">
        <f>'[1]JUL 28'!K33</f>
        <v>13.55</v>
      </c>
      <c r="L33" s="24">
        <f>'[1]JUL 28'!L33</f>
        <v>13.55</v>
      </c>
      <c r="M33" s="24">
        <f>'[1]JUL 28'!M33</f>
        <v>13.51</v>
      </c>
      <c r="N33" s="24">
        <f>'[1]JUL 28'!N33</f>
        <v>13.45</v>
      </c>
      <c r="O33" s="24">
        <f>'[1]JUL 28'!O33</f>
        <v>13.38</v>
      </c>
      <c r="P33" s="24">
        <f>'[1]JUL 28'!P33</f>
        <v>13.32</v>
      </c>
      <c r="Q33" s="24">
        <f>'[1]JUL 28'!Q33</f>
        <v>13.26</v>
      </c>
      <c r="R33" s="24">
        <f>'[1]JUL 28'!R33</f>
        <v>13.21</v>
      </c>
      <c r="S33" s="24">
        <f>'[1]JUL 28'!S33</f>
        <v>13.19</v>
      </c>
      <c r="T33" s="24" t="str">
        <f>'[1]JUL 28'!T33</f>
        <v>**</v>
      </c>
      <c r="U33" s="24">
        <f>'[1]JUL 28'!U33</f>
        <v>13.15</v>
      </c>
      <c r="V33" s="24">
        <f>'[1]JUL 28'!V33</f>
        <v>13.11</v>
      </c>
      <c r="W33" s="24">
        <f>'[1]JUL 28'!W33</f>
        <v>13.09</v>
      </c>
      <c r="X33" s="24">
        <f>'[1]JUL 28'!X33</f>
        <v>13.06</v>
      </c>
      <c r="Y33" s="24">
        <f>'[1]JUL 28'!Y33</f>
        <v>13.07</v>
      </c>
      <c r="Z33" s="25">
        <f t="shared" si="0"/>
        <v>13.3035</v>
      </c>
      <c r="AA33" s="26">
        <v>28</v>
      </c>
      <c r="AB33" s="27">
        <f t="shared" si="1"/>
        <v>13.56</v>
      </c>
      <c r="AC33" s="27">
        <f t="shared" si="2"/>
        <v>13.06</v>
      </c>
    </row>
    <row r="34" spans="1:29" ht="14.25" customHeight="1" x14ac:dyDescent="0.3">
      <c r="A34" s="23">
        <v>29</v>
      </c>
      <c r="B34" s="24">
        <f>'[1]JUL 29'!B33</f>
        <v>13.03</v>
      </c>
      <c r="C34" s="24">
        <f>'[1]JUL 29'!C33</f>
        <v>13.01</v>
      </c>
      <c r="D34" s="24">
        <f>'[1]JUL 29'!D33</f>
        <v>12.99</v>
      </c>
      <c r="E34" s="24">
        <f>'[1]JUL 29'!E33</f>
        <v>12.99</v>
      </c>
      <c r="F34" s="24">
        <f>'[1]JUL 29'!F33</f>
        <v>12.96</v>
      </c>
      <c r="G34" s="24">
        <f>'[1]JUL 29'!G33</f>
        <v>12.95</v>
      </c>
      <c r="H34" s="24">
        <f>'[1]JUL 29'!H33</f>
        <v>12.93</v>
      </c>
      <c r="I34" s="24">
        <f>'[1]JUL 29'!I33</f>
        <v>12.92</v>
      </c>
      <c r="J34" s="24">
        <f>'[1]JUL 29'!J33</f>
        <v>12.89</v>
      </c>
      <c r="K34" s="24">
        <f>'[1]JUL 29'!K33</f>
        <v>12.87</v>
      </c>
      <c r="L34" s="24">
        <f>'[1]JUL 29'!L33</f>
        <v>12.85</v>
      </c>
      <c r="M34" s="24">
        <f>'[1]JUL 29'!M33</f>
        <v>12.82</v>
      </c>
      <c r="N34" s="24">
        <f>'[1]JUL 29'!N33</f>
        <v>12.79</v>
      </c>
      <c r="O34" s="24">
        <f>'[1]JUL 29'!O33</f>
        <v>12.78</v>
      </c>
      <c r="P34" s="24">
        <f>'[1]JUL 29'!P33</f>
        <v>12.76</v>
      </c>
      <c r="Q34" s="24">
        <f>'[1]JUL 29'!Q33</f>
        <v>12.74</v>
      </c>
      <c r="R34" s="24">
        <f>'[1]JUL 29'!R33</f>
        <v>12.79</v>
      </c>
      <c r="S34" s="24">
        <f>'[1]JUL 29'!S33</f>
        <v>12.69</v>
      </c>
      <c r="T34" s="24">
        <f>'[1]JUL 29'!T33</f>
        <v>12.68</v>
      </c>
      <c r="U34" s="24">
        <f>'[1]JUL 29'!U33</f>
        <v>12.65</v>
      </c>
      <c r="V34" s="24">
        <f>'[1]JUL 29'!V33</f>
        <v>12.63</v>
      </c>
      <c r="W34" s="24">
        <f>'[1]JUL 29'!W33</f>
        <v>12.6</v>
      </c>
      <c r="X34" s="24">
        <f>'[1]JUL 29'!X33</f>
        <v>12.59</v>
      </c>
      <c r="Y34" s="24">
        <f>'[1]JUL 29'!Y33</f>
        <v>12.57</v>
      </c>
      <c r="Z34" s="25">
        <f t="shared" si="0"/>
        <v>12.811666666666666</v>
      </c>
      <c r="AA34" s="26">
        <v>29</v>
      </c>
      <c r="AB34" s="27">
        <f t="shared" si="1"/>
        <v>13.03</v>
      </c>
      <c r="AC34" s="27">
        <f t="shared" si="2"/>
        <v>12.57</v>
      </c>
    </row>
    <row r="35" spans="1:29" ht="14.25" customHeight="1" x14ac:dyDescent="0.3">
      <c r="A35" s="23">
        <v>30</v>
      </c>
      <c r="B35" s="24">
        <f>'[1]JUL 30'!B33</f>
        <v>12.55</v>
      </c>
      <c r="C35" s="24">
        <f>'[1]JUL 30'!C33</f>
        <v>12.51</v>
      </c>
      <c r="D35" s="24">
        <f>'[1]JUL 30'!D33</f>
        <v>12.5</v>
      </c>
      <c r="E35" s="24">
        <f>'[1]JUL 30'!E33</f>
        <v>12.47</v>
      </c>
      <c r="F35" s="24">
        <f>'[1]JUL 30'!F33</f>
        <v>12.44</v>
      </c>
      <c r="G35" s="24">
        <f>'[1]JUL 30'!G33</f>
        <v>12.43</v>
      </c>
      <c r="H35" s="24">
        <f>'[1]JUL 30'!H33</f>
        <v>12.41</v>
      </c>
      <c r="I35" s="24">
        <f>'[1]JUL 30'!I33</f>
        <v>12.38</v>
      </c>
      <c r="J35" s="24">
        <f>'[1]JUL 30'!J33</f>
        <v>12.34</v>
      </c>
      <c r="K35" s="24">
        <f>'[1]JUL 30'!K33</f>
        <v>12.32</v>
      </c>
      <c r="L35" s="24">
        <f>'[1]JUL 30'!L33</f>
        <v>12.3</v>
      </c>
      <c r="M35" s="24">
        <f>'[1]JUL 30'!M33</f>
        <v>12.29</v>
      </c>
      <c r="N35" s="24">
        <f>'[1]JUL 30'!N33</f>
        <v>12.27</v>
      </c>
      <c r="O35" s="24">
        <f>'[1]JUL 30'!O33</f>
        <v>12.45</v>
      </c>
      <c r="P35" s="24">
        <f>'[1]JUL 30'!P33</f>
        <v>12.45</v>
      </c>
      <c r="Q35" s="24">
        <f>'[1]JUL 30'!Q33</f>
        <v>12.41</v>
      </c>
      <c r="R35" s="24">
        <f>'[1]JUL 30'!R33</f>
        <v>12.39</v>
      </c>
      <c r="S35" s="24">
        <f>'[1]JUL 30'!S33</f>
        <v>12.35</v>
      </c>
      <c r="T35" s="24">
        <f>'[1]JUL 30'!T33</f>
        <v>12.27</v>
      </c>
      <c r="U35" s="24">
        <f>'[1]JUL 30'!U33</f>
        <v>12.22</v>
      </c>
      <c r="V35" s="24">
        <f>'[1]JUL 30'!V33</f>
        <v>12.2</v>
      </c>
      <c r="W35" s="24">
        <f>'[1]JUL 30'!W33</f>
        <v>12.17</v>
      </c>
      <c r="X35" s="24">
        <f>'[1]JUL 30'!X33</f>
        <v>12.14</v>
      </c>
      <c r="Y35" s="24">
        <f>'[1]JUL 30'!Y33</f>
        <v>12.13</v>
      </c>
      <c r="Z35" s="25">
        <f t="shared" si="0"/>
        <v>12.349583333333333</v>
      </c>
      <c r="AA35" s="26">
        <v>30</v>
      </c>
      <c r="AB35" s="27">
        <f t="shared" si="1"/>
        <v>12.55</v>
      </c>
      <c r="AC35" s="27">
        <f>MIN(B35:Y35)</f>
        <v>12.13</v>
      </c>
    </row>
    <row r="36" spans="1:29" ht="14.25" customHeight="1" x14ac:dyDescent="0.3">
      <c r="A36" s="23">
        <v>31</v>
      </c>
      <c r="B36" s="24">
        <f>'[1]JUL 31'!B33</f>
        <v>12.1</v>
      </c>
      <c r="C36" s="24">
        <f>'[1]JUL 31'!C33</f>
        <v>12.1</v>
      </c>
      <c r="D36" s="24">
        <f>'[1]JUL 31'!D33</f>
        <v>12.08</v>
      </c>
      <c r="E36" s="24">
        <f>'[1]JUL 31'!E33</f>
        <v>12.07</v>
      </c>
      <c r="F36" s="24">
        <f>'[1]JUL 31'!F33</f>
        <v>12.05</v>
      </c>
      <c r="G36" s="24">
        <f>'[1]JUL 31'!G33</f>
        <v>12.04</v>
      </c>
      <c r="H36" s="24">
        <f>'[1]JUL 31'!H33</f>
        <v>12.04</v>
      </c>
      <c r="I36" s="24">
        <f>'[1]JUL 31'!I33</f>
        <v>12.02</v>
      </c>
      <c r="J36" s="24">
        <f>'[1]JUL 31'!J33</f>
        <v>12.02</v>
      </c>
      <c r="K36" s="24">
        <f>'[1]JUL 31'!K33</f>
        <v>11.99</v>
      </c>
      <c r="L36" s="24">
        <f>'[1]JUL 31'!L33</f>
        <v>11.98</v>
      </c>
      <c r="M36" s="24">
        <f>'[1]JUL 31'!M33</f>
        <v>11.99</v>
      </c>
      <c r="N36" s="24">
        <f>'[1]JUL 31'!N33</f>
        <v>12</v>
      </c>
      <c r="O36" s="24">
        <f>'[1]JUL 31'!O33</f>
        <v>11.98</v>
      </c>
      <c r="P36" s="24">
        <f>'[1]JUL 31'!P33</f>
        <v>11.98</v>
      </c>
      <c r="Q36" s="24">
        <f>'[1]JUL 31'!Q33</f>
        <v>11.97</v>
      </c>
      <c r="R36" s="24">
        <f>'[1]JUL 31'!R33</f>
        <v>11.96</v>
      </c>
      <c r="S36" s="24">
        <f>'[1]JUL 31'!S33</f>
        <v>11.95</v>
      </c>
      <c r="T36" s="24">
        <f>'[1]JUL 31'!T33</f>
        <v>11.95</v>
      </c>
      <c r="U36" s="24">
        <f>'[1]JUL 31'!U33</f>
        <v>11.984999999999999</v>
      </c>
      <c r="V36" s="24">
        <f>'[1]JUL 31'!V33</f>
        <v>11.95</v>
      </c>
      <c r="W36" s="24">
        <f>'[1]JUL 31'!W33</f>
        <v>11.94</v>
      </c>
      <c r="X36" s="24">
        <f>'[1]JUL 31'!X33</f>
        <v>11.92</v>
      </c>
      <c r="Y36" s="24">
        <f>'[1]JUL 31'!Y33</f>
        <v>11.94</v>
      </c>
      <c r="Z36" s="25">
        <f t="shared" si="0"/>
        <v>12.000208333333331</v>
      </c>
      <c r="AA36" s="26">
        <v>31</v>
      </c>
      <c r="AB36" s="27">
        <f t="shared" si="1"/>
        <v>12.1</v>
      </c>
      <c r="AC36" s="27">
        <f t="shared" si="2"/>
        <v>11.92</v>
      </c>
    </row>
    <row r="37" spans="1:29" ht="14.25" customHeight="1" x14ac:dyDescent="0.25">
      <c r="A37" s="23" t="s">
        <v>9</v>
      </c>
      <c r="B37" s="24"/>
      <c r="C37" s="24"/>
      <c r="D37" s="24"/>
      <c r="E37" s="24"/>
      <c r="F37" s="24"/>
      <c r="G37" s="24"/>
      <c r="H37" s="24"/>
      <c r="I37" s="30"/>
      <c r="J37" s="30"/>
      <c r="K37" s="30"/>
      <c r="L37" s="30"/>
      <c r="M37" s="30"/>
      <c r="N37" s="30"/>
      <c r="O37" s="30"/>
      <c r="P37" s="30"/>
      <c r="Q37" s="30"/>
      <c r="R37" s="30"/>
      <c r="S37" s="30"/>
      <c r="T37" s="30"/>
      <c r="U37" s="30"/>
      <c r="V37" s="30"/>
      <c r="W37" s="30"/>
      <c r="X37" s="30"/>
      <c r="Y37" s="30"/>
      <c r="Z37" s="25">
        <f>AVERAGE(Z6:Z36)</f>
        <v>12.160974025614525</v>
      </c>
      <c r="AA37" s="17"/>
      <c r="AB37" s="17"/>
      <c r="AC37" s="17"/>
    </row>
    <row r="38" spans="1:29" ht="14.25" customHeight="1" x14ac:dyDescent="0.25">
      <c r="A38" s="23" t="s">
        <v>13</v>
      </c>
      <c r="B38" s="31"/>
      <c r="C38" s="31"/>
      <c r="D38" s="31"/>
      <c r="E38" s="32">
        <f>AVERAGE(E6:E36)</f>
        <v>12.18483870967742</v>
      </c>
      <c r="F38" s="31"/>
      <c r="G38" s="31"/>
      <c r="H38" s="31"/>
      <c r="I38" s="33"/>
      <c r="J38" s="33">
        <f>AVERAGE(J6:J36)</f>
        <v>12.294999999999998</v>
      </c>
      <c r="K38" s="33"/>
      <c r="L38" s="33"/>
      <c r="M38" s="33"/>
      <c r="N38" s="33"/>
      <c r="O38" s="33"/>
      <c r="P38" s="33"/>
      <c r="Q38" s="33"/>
      <c r="R38" s="33"/>
      <c r="S38" s="31"/>
      <c r="T38" s="31"/>
      <c r="U38" s="31"/>
      <c r="V38" s="31"/>
      <c r="W38" s="31"/>
      <c r="X38" s="31"/>
      <c r="Y38" s="32">
        <f>AVERAGE(Y6:Y36)</f>
        <v>12.119642857142855</v>
      </c>
      <c r="Z38" s="25">
        <f>AVERAGE(E38,J38,Y38)</f>
        <v>12.199827188940091</v>
      </c>
      <c r="AA38" s="34" t="s">
        <v>14</v>
      </c>
      <c r="AB38" s="35">
        <f>AVERAGE(AB6:AB36)</f>
        <v>12.409032258064517</v>
      </c>
      <c r="AC38" s="35">
        <f>AVERAGE(AC6:AC36)</f>
        <v>11.962580645161289</v>
      </c>
    </row>
    <row r="39" spans="1:29" x14ac:dyDescent="0.25">
      <c r="B39" s="36" t="s">
        <v>15</v>
      </c>
    </row>
  </sheetData>
  <mergeCells count="6">
    <mergeCell ref="A1:Z1"/>
    <mergeCell ref="AE1:AP1"/>
    <mergeCell ref="AA2:AC2"/>
    <mergeCell ref="AE2:AP2"/>
    <mergeCell ref="Y3:Z3"/>
    <mergeCell ref="AE3:AP3"/>
  </mergeCells>
  <printOptions horizontalCentered="1"/>
  <pageMargins left="0.75" right="0.75" top="0.5" bottom="0.25" header="0.25" footer="0.25"/>
  <pageSetup paperSize="9" scale="82" orientation="landscape" horizontalDpi="300" verticalDpi="300" r:id="rId1"/>
  <headerFooter alignWithMargins="0"/>
  <colBreaks count="1" manualBreakCount="1">
    <brk id="26" max="1048575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STO.NINO</vt:lpstr>
      <vt:lpstr>STO.NINO!Print_Area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Efcos Project</dc:creator>
  <cp:lastModifiedBy>Efcos Project</cp:lastModifiedBy>
  <dcterms:created xsi:type="dcterms:W3CDTF">2025-03-10T05:51:20Z</dcterms:created>
  <dcterms:modified xsi:type="dcterms:W3CDTF">2025-03-10T05:51:25Z</dcterms:modified>
</cp:coreProperties>
</file>