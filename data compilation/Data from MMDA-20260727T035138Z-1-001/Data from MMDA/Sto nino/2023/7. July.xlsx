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2F0DBD80-7432-48D2-9F09-9854F97140DA}" xr6:coauthVersionLast="47" xr6:coauthVersionMax="47" xr10:uidLastSave="{00000000-0000-0000-0000-000000000000}"/>
  <bookViews>
    <workbookView xWindow="-120" yWindow="-120" windowWidth="29040" windowHeight="15720" xr2:uid="{8DB962AD-782F-4D94-A824-324762B90B01}"/>
  </bookViews>
  <sheets>
    <sheet name="STO.NINO" sheetId="1" r:id="rId1"/>
  </sheets>
  <externalReferences>
    <externalReference r:id="rId2"/>
  </externalReferences>
  <definedNames>
    <definedName name="_xlnm.Print_Area" localSheetId="0">STO.NINO!$A$1:$AQ$39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36" i="1" l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AC36" i="1" s="1"/>
  <c r="AB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AC35" i="1" s="1"/>
  <c r="B35" i="1"/>
  <c r="Z35" i="1" s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AC34" i="1" s="1"/>
  <c r="C34" i="1"/>
  <c r="B34" i="1"/>
  <c r="AB34" i="1" s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AC33" i="1" s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AC32" i="1" s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AC31" i="1" s="1"/>
  <c r="B31" i="1"/>
  <c r="Z31" i="1" s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AC30" i="1" s="1"/>
  <c r="C30" i="1"/>
  <c r="B30" i="1"/>
  <c r="AB30" i="1" s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C29" i="1" s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C28" i="1" s="1"/>
  <c r="AB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Z27" i="1" s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AC26" i="1" s="1"/>
  <c r="C26" i="1"/>
  <c r="B26" i="1"/>
  <c r="AB26" i="1" s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C25" i="1" s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C24" i="1" s="1"/>
  <c r="AB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Z23" i="1" s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C22" i="1" s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C21" i="1" s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C20" i="1" s="1"/>
  <c r="AB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Z19" i="1" s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C18" i="1" s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C17" i="1" s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C16" i="1" s="1"/>
  <c r="Y15" i="1"/>
  <c r="X15" i="1"/>
  <c r="W15" i="1"/>
  <c r="V15" i="1"/>
  <c r="U15" i="1"/>
  <c r="T15" i="1"/>
  <c r="S15" i="1"/>
  <c r="R15" i="1"/>
  <c r="Q15" i="1"/>
  <c r="P15" i="1"/>
  <c r="O15" i="1"/>
  <c r="AB15" i="1" s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Z15" i="1" s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C14" i="1" s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AC13" i="1" s="1"/>
  <c r="C13" i="1"/>
  <c r="B13" i="1"/>
  <c r="AB13" i="1" s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C12" i="1" s="1"/>
  <c r="AB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Z11" i="1" s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C10" i="1" s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AC9" i="1" s="1"/>
  <c r="C9" i="1"/>
  <c r="B9" i="1"/>
  <c r="AB9" i="1" s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AC8" i="1" s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AB7" i="1" s="1"/>
  <c r="B7" i="1"/>
  <c r="Z7" i="1" s="1"/>
  <c r="Y6" i="1"/>
  <c r="Y38" i="1" s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J38" i="1" s="1"/>
  <c r="I6" i="1"/>
  <c r="H6" i="1"/>
  <c r="G6" i="1"/>
  <c r="F6" i="1"/>
  <c r="E6" i="1"/>
  <c r="E38" i="1" s="1"/>
  <c r="D6" i="1"/>
  <c r="C6" i="1"/>
  <c r="B6" i="1"/>
  <c r="AC6" i="1" s="1"/>
  <c r="Z38" i="1" l="1"/>
  <c r="AB31" i="1"/>
  <c r="AC7" i="1"/>
  <c r="AC38" i="1" s="1"/>
  <c r="AC11" i="1"/>
  <c r="AC15" i="1"/>
  <c r="AC19" i="1"/>
  <c r="AC23" i="1"/>
  <c r="AC27" i="1"/>
  <c r="Z8" i="1"/>
  <c r="Z12" i="1"/>
  <c r="Z16" i="1"/>
  <c r="Z20" i="1"/>
  <c r="Z24" i="1"/>
  <c r="Z28" i="1"/>
  <c r="Z32" i="1"/>
  <c r="Z36" i="1"/>
  <c r="AB8" i="1"/>
  <c r="AB12" i="1"/>
  <c r="AB16" i="1"/>
  <c r="AB20" i="1"/>
  <c r="AB24" i="1"/>
  <c r="AB28" i="1"/>
  <c r="AB32" i="1"/>
  <c r="AB36" i="1"/>
  <c r="Z9" i="1"/>
  <c r="Z13" i="1"/>
  <c r="Z17" i="1"/>
  <c r="Z21" i="1"/>
  <c r="Z25" i="1"/>
  <c r="Z29" i="1"/>
  <c r="Z33" i="1"/>
  <c r="AB17" i="1"/>
  <c r="AB21" i="1"/>
  <c r="AB25" i="1"/>
  <c r="AB29" i="1"/>
  <c r="AB33" i="1"/>
  <c r="Z6" i="1"/>
  <c r="Z10" i="1"/>
  <c r="Z14" i="1"/>
  <c r="Z18" i="1"/>
  <c r="Z22" i="1"/>
  <c r="Z26" i="1"/>
  <c r="Z30" i="1"/>
  <c r="Z34" i="1"/>
  <c r="AB6" i="1"/>
  <c r="AB10" i="1"/>
  <c r="AB14" i="1"/>
  <c r="AB18" i="1"/>
  <c r="AB22" i="1"/>
  <c r="AB38" i="1" l="1"/>
  <c r="Z37" i="1"/>
</calcChain>
</file>

<file path=xl/sharedStrings.xml><?xml version="1.0" encoding="utf-8"?>
<sst xmlns="http://schemas.openxmlformats.org/spreadsheetml/2006/main" count="18" uniqueCount="16">
  <si>
    <t>FORM 2-1  HOURLY  WATERLEVEL CHART</t>
  </si>
  <si>
    <t>RECORDED DAILY HIGHEST AND LOWEST WATER ELEVATION</t>
  </si>
  <si>
    <t>July</t>
  </si>
  <si>
    <t>STO. NIÑO WATER LEVEL GAUGING STATION</t>
  </si>
  <si>
    <t xml:space="preserve">          LOCATION :</t>
  </si>
  <si>
    <t>STO. NIÑO</t>
  </si>
  <si>
    <t xml:space="preserve">   MONTH :</t>
  </si>
  <si>
    <t xml:space="preserve">       YEAR :</t>
  </si>
  <si>
    <t>July 1-31, 2023</t>
  </si>
  <si>
    <t>AVE.</t>
  </si>
  <si>
    <t>DATE</t>
  </si>
  <si>
    <t>HIGHEST</t>
  </si>
  <si>
    <t>LOWEST</t>
  </si>
  <si>
    <t>*PTA</t>
  </si>
  <si>
    <t>AVE</t>
  </si>
  <si>
    <t>* Period Time  Average (PTA) is the average water level of the  data at 8:00,12:00 and 17:00.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</si>
</sst>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1" applyFont="1" applyAlignment="1">
      <alignment horizontal="center"/>
    </xf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0" xfId="1"/>
    <xf numFmtId="0" fontId="3" fillId="0" borderId="0" xfId="1" applyFont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5" xfId="1" applyFont="1" applyBorder="1" applyAlignment="1">
      <alignment horizontal="center"/>
    </xf>
    <xf numFmtId="0" fontId="4" fillId="0" borderId="0" xfId="1" applyFont="1"/>
    <xf numFmtId="0" fontId="5" fillId="0" borderId="0" xfId="1" applyFont="1"/>
    <xf numFmtId="0" fontId="5" fillId="0" borderId="0" xfId="1" quotePrefix="1" applyFont="1" applyAlignment="1">
      <alignment horizontal="left"/>
    </xf>
    <xf numFmtId="0" fontId="1" fillId="0" borderId="0" xfId="1" applyAlignment="1">
      <alignment horizontal="left"/>
    </xf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6" fillId="0" borderId="10" xfId="1" applyFont="1" applyBorder="1" applyAlignment="1">
      <alignment horizontal="center"/>
    </xf>
    <xf numFmtId="20" fontId="6" fillId="0" borderId="10" xfId="1" applyNumberFormat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/>
    </xf>
    <xf numFmtId="0" fontId="4" fillId="0" borderId="12" xfId="1" applyFont="1" applyBorder="1"/>
    <xf numFmtId="0" fontId="6" fillId="0" borderId="10" xfId="1" applyFont="1" applyBorder="1" applyAlignment="1">
      <alignment horizontal="center" vertical="center"/>
    </xf>
    <xf numFmtId="164" fontId="7" fillId="0" borderId="10" xfId="2" applyFont="1" applyFill="1" applyBorder="1" applyAlignment="1">
      <alignment horizontal="center" vertical="center"/>
    </xf>
    <xf numFmtId="164" fontId="8" fillId="0" borderId="10" xfId="2" applyFont="1" applyBorder="1" applyAlignment="1">
      <alignment horizontal="center" vertical="center"/>
    </xf>
    <xf numFmtId="0" fontId="4" fillId="0" borderId="10" xfId="1" applyFont="1" applyBorder="1"/>
    <xf numFmtId="164" fontId="0" fillId="0" borderId="10" xfId="2" applyFont="1" applyBorder="1"/>
    <xf numFmtId="164" fontId="8" fillId="0" borderId="10" xfId="2" applyFont="1" applyFill="1" applyBorder="1" applyAlignment="1">
      <alignment horizontal="center" vertical="center"/>
    </xf>
    <xf numFmtId="164" fontId="0" fillId="0" borderId="10" xfId="2" applyFont="1" applyFill="1" applyBorder="1"/>
    <xf numFmtId="164" fontId="7" fillId="0" borderId="10" xfId="2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164" fontId="8" fillId="0" borderId="10" xfId="1" applyNumberFormat="1" applyFont="1" applyBorder="1" applyAlignment="1">
      <alignment horizontal="center" vertical="center"/>
    </xf>
    <xf numFmtId="2" fontId="8" fillId="0" borderId="10" xfId="1" applyNumberFormat="1" applyFont="1" applyBorder="1" applyAlignment="1">
      <alignment horizontal="center" vertical="center"/>
    </xf>
    <xf numFmtId="0" fontId="4" fillId="0" borderId="12" xfId="1" applyFont="1" applyBorder="1" applyAlignment="1">
      <alignment horizontal="right"/>
    </xf>
    <xf numFmtId="164" fontId="4" fillId="0" borderId="12" xfId="1" applyNumberFormat="1" applyFont="1" applyBorder="1"/>
    <xf numFmtId="0" fontId="7" fillId="0" borderId="0" xfId="1" applyFont="1"/>
  </cellXfs>
  <cellStyles count="3">
    <cellStyle name="Comma 2" xfId="2" xr:uid="{BF988B15-057E-4B1B-80AB-23F2DF4462AA}"/>
    <cellStyle name="Normal" xfId="0" builtinId="0"/>
    <cellStyle name="Normal 2" xfId="1" xr:uid="{F3A99E8D-86CA-4647-ACC6-C6BFA0C9088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6"/>
          <c:order val="0"/>
          <c:tx>
            <c:v>HIGHEST</c:v>
          </c:tx>
          <c:spPr>
            <a:solidFill>
              <a:srgbClr val="99CCFF"/>
            </a:solidFill>
            <a:ln w="12700">
              <a:solidFill>
                <a:srgbClr val="000000"/>
              </a:solidFill>
            </a:ln>
            <a:effectLst/>
          </c:spPr>
          <c:invertIfNegative val="0"/>
          <c:cat>
            <c:strRef>
              <c:f>STO.NINO!$A$6:$A$39</c:f>
              <c:strCach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AVE.</c:v>
                </c:pt>
                <c:pt idx="32">
                  <c:v>*PTA</c:v>
                </c:pt>
              </c:strCache>
            </c:strRef>
          </c:cat>
          <c:val>
            <c:numRef>
              <c:f>STO.NINO!$AB$6:$AB$36</c:f>
              <c:numCache>
                <c:formatCode>_(* #,##0.00_);_(* \(#,##0.00\);_(* "-"??_);_(@_)</c:formatCode>
                <c:ptCount val="31"/>
                <c:pt idx="0">
                  <c:v>12.01</c:v>
                </c:pt>
                <c:pt idx="1">
                  <c:v>11.91</c:v>
                </c:pt>
                <c:pt idx="2">
                  <c:v>11.81</c:v>
                </c:pt>
                <c:pt idx="3">
                  <c:v>11.81</c:v>
                </c:pt>
                <c:pt idx="4">
                  <c:v>11.81</c:v>
                </c:pt>
                <c:pt idx="5">
                  <c:v>11.81</c:v>
                </c:pt>
                <c:pt idx="6">
                  <c:v>11.8</c:v>
                </c:pt>
                <c:pt idx="7">
                  <c:v>11.8</c:v>
                </c:pt>
                <c:pt idx="8">
                  <c:v>11.94</c:v>
                </c:pt>
                <c:pt idx="9">
                  <c:v>11.81</c:v>
                </c:pt>
                <c:pt idx="10">
                  <c:v>11.81</c:v>
                </c:pt>
                <c:pt idx="11">
                  <c:v>11.81</c:v>
                </c:pt>
                <c:pt idx="12">
                  <c:v>14.15</c:v>
                </c:pt>
                <c:pt idx="13">
                  <c:v>13.33</c:v>
                </c:pt>
                <c:pt idx="14">
                  <c:v>13.5</c:v>
                </c:pt>
                <c:pt idx="15">
                  <c:v>13.57</c:v>
                </c:pt>
                <c:pt idx="16">
                  <c:v>12.79</c:v>
                </c:pt>
                <c:pt idx="17">
                  <c:v>12.17</c:v>
                </c:pt>
                <c:pt idx="18">
                  <c:v>12.31</c:v>
                </c:pt>
                <c:pt idx="19">
                  <c:v>12.73</c:v>
                </c:pt>
                <c:pt idx="20">
                  <c:v>11.86</c:v>
                </c:pt>
                <c:pt idx="21">
                  <c:v>11.91</c:v>
                </c:pt>
                <c:pt idx="22">
                  <c:v>12.3</c:v>
                </c:pt>
                <c:pt idx="23">
                  <c:v>13.61</c:v>
                </c:pt>
                <c:pt idx="24">
                  <c:v>13.32</c:v>
                </c:pt>
                <c:pt idx="25">
                  <c:v>15.36</c:v>
                </c:pt>
                <c:pt idx="26">
                  <c:v>15.92</c:v>
                </c:pt>
                <c:pt idx="27">
                  <c:v>14.94</c:v>
                </c:pt>
                <c:pt idx="28">
                  <c:v>16.66</c:v>
                </c:pt>
                <c:pt idx="29">
                  <c:v>15.46</c:v>
                </c:pt>
                <c:pt idx="30">
                  <c:v>14.21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F8-4036-A0FA-F4AFEB722097}"/>
            </c:ext>
          </c:extLst>
        </c:ser>
        <c:ser>
          <c:idx val="27"/>
          <c:order val="1"/>
          <c:tx>
            <c:v>LOWEST</c:v>
          </c:tx>
          <c:spPr>
            <a:solidFill>
              <a:schemeClr val="bg1"/>
            </a:solidFill>
            <a:ln w="12700">
              <a:solidFill>
                <a:srgbClr val="000000"/>
              </a:solidFill>
            </a:ln>
            <a:effectLst/>
          </c:spPr>
          <c:invertIfNegative val="0"/>
          <c:cat>
            <c:strRef>
              <c:f>STO.NINO!$A$6:$A$39</c:f>
              <c:strCach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AVE.</c:v>
                </c:pt>
                <c:pt idx="32">
                  <c:v>*PTA</c:v>
                </c:pt>
              </c:strCache>
            </c:strRef>
          </c:cat>
          <c:val>
            <c:numRef>
              <c:f>STO.NINO!$AC$6:$AC$36</c:f>
              <c:numCache>
                <c:formatCode>_(* #,##0.00_);_(* \(#,##0.00\);_(* "-"??_);_(@_)</c:formatCode>
                <c:ptCount val="31"/>
                <c:pt idx="0">
                  <c:v>11.81</c:v>
                </c:pt>
                <c:pt idx="1">
                  <c:v>11.81</c:v>
                </c:pt>
                <c:pt idx="2">
                  <c:v>11.31</c:v>
                </c:pt>
                <c:pt idx="3">
                  <c:v>11.81</c:v>
                </c:pt>
                <c:pt idx="4">
                  <c:v>11.81</c:v>
                </c:pt>
                <c:pt idx="5">
                  <c:v>11.8</c:v>
                </c:pt>
                <c:pt idx="6">
                  <c:v>11.8</c:v>
                </c:pt>
                <c:pt idx="7">
                  <c:v>11.8</c:v>
                </c:pt>
                <c:pt idx="8">
                  <c:v>11.8</c:v>
                </c:pt>
                <c:pt idx="9">
                  <c:v>11.81</c:v>
                </c:pt>
                <c:pt idx="10">
                  <c:v>11.81</c:v>
                </c:pt>
                <c:pt idx="11">
                  <c:v>11.81</c:v>
                </c:pt>
                <c:pt idx="12">
                  <c:v>11.81</c:v>
                </c:pt>
                <c:pt idx="13">
                  <c:v>11.98</c:v>
                </c:pt>
                <c:pt idx="14">
                  <c:v>12.38</c:v>
                </c:pt>
                <c:pt idx="15">
                  <c:v>12.79</c:v>
                </c:pt>
                <c:pt idx="16">
                  <c:v>12.18</c:v>
                </c:pt>
                <c:pt idx="17">
                  <c:v>11.86</c:v>
                </c:pt>
                <c:pt idx="18">
                  <c:v>11.81</c:v>
                </c:pt>
                <c:pt idx="19">
                  <c:v>11.81</c:v>
                </c:pt>
                <c:pt idx="20">
                  <c:v>11.81</c:v>
                </c:pt>
                <c:pt idx="21">
                  <c:v>11.8</c:v>
                </c:pt>
                <c:pt idx="22">
                  <c:v>11.81</c:v>
                </c:pt>
                <c:pt idx="23">
                  <c:v>11.9</c:v>
                </c:pt>
                <c:pt idx="24">
                  <c:v>12.06</c:v>
                </c:pt>
                <c:pt idx="25">
                  <c:v>13.26</c:v>
                </c:pt>
                <c:pt idx="26">
                  <c:v>14.43</c:v>
                </c:pt>
                <c:pt idx="27">
                  <c:v>14.34</c:v>
                </c:pt>
                <c:pt idx="28">
                  <c:v>13.96</c:v>
                </c:pt>
                <c:pt idx="29">
                  <c:v>12.75</c:v>
                </c:pt>
                <c:pt idx="30">
                  <c:v>13.64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F8-4036-A0FA-F4AFEB7220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635049488"/>
        <c:axId val="-1635048944"/>
      </c:barChart>
      <c:catAx>
        <c:axId val="-163504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35048944"/>
        <c:crosses val="autoZero"/>
        <c:auto val="1"/>
        <c:lblAlgn val="ctr"/>
        <c:lblOffset val="100"/>
        <c:noMultiLvlLbl val="0"/>
      </c:catAx>
      <c:valAx>
        <c:axId val="-163504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3504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rgbClr val="000000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>
          <a:ln>
            <a:solidFill>
              <a:srgbClr val="000000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4</xdr:row>
      <xdr:rowOff>7620</xdr:rowOff>
    </xdr:from>
    <xdr:to>
      <xdr:col>1</xdr:col>
      <xdr:colOff>0</xdr:colOff>
      <xdr:row>5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38386F14-BC59-4402-B066-435361EF0E3E}"/>
            </a:ext>
          </a:extLst>
        </xdr:cNvPr>
        <xdr:cNvSpPr>
          <a:spLocks noChangeShapeType="1"/>
        </xdr:cNvSpPr>
      </xdr:nvSpPr>
      <xdr:spPr bwMode="auto">
        <a:xfrm>
          <a:off x="7620" y="960120"/>
          <a:ext cx="411480" cy="1543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0</xdr:col>
      <xdr:colOff>236220</xdr:colOff>
      <xdr:row>4</xdr:row>
      <xdr:rowOff>0</xdr:rowOff>
    </xdr:from>
    <xdr:ext cx="173434" cy="101974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5511C307-CED5-4A1D-B81D-AE345B02C76E}"/>
            </a:ext>
          </a:extLst>
        </xdr:cNvPr>
        <xdr:cNvSpPr txBox="1">
          <a:spLocks noChangeArrowheads="1"/>
        </xdr:cNvSpPr>
      </xdr:nvSpPr>
      <xdr:spPr bwMode="auto">
        <a:xfrm>
          <a:off x="236220" y="952500"/>
          <a:ext cx="173434" cy="1019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TIME</a:t>
          </a:r>
        </a:p>
      </xdr:txBody>
    </xdr:sp>
    <xdr:clientData/>
  </xdr:oneCellAnchor>
  <xdr:oneCellAnchor>
    <xdr:from>
      <xdr:col>0</xdr:col>
      <xdr:colOff>0</xdr:colOff>
      <xdr:row>4</xdr:row>
      <xdr:rowOff>66675</xdr:rowOff>
    </xdr:from>
    <xdr:ext cx="192332" cy="109257"/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547FDE39-29DE-4DF2-9C03-9C7E89988917}"/>
            </a:ext>
          </a:extLst>
        </xdr:cNvPr>
        <xdr:cNvSpPr txBox="1">
          <a:spLocks noChangeArrowheads="1"/>
        </xdr:cNvSpPr>
      </xdr:nvSpPr>
      <xdr:spPr bwMode="auto">
        <a:xfrm>
          <a:off x="0" y="1019175"/>
          <a:ext cx="192332" cy="1092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oneCellAnchor>
  <xdr:twoCellAnchor>
    <xdr:from>
      <xdr:col>29</xdr:col>
      <xdr:colOff>387350</xdr:colOff>
      <xdr:row>5</xdr:row>
      <xdr:rowOff>88900</xdr:rowOff>
    </xdr:from>
    <xdr:to>
      <xdr:col>42</xdr:col>
      <xdr:colOff>304800</xdr:colOff>
      <xdr:row>35</xdr:row>
      <xdr:rowOff>139700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CF06833-9648-4157-A03B-1BE19A239B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29</xdr:col>
      <xdr:colOff>431802</xdr:colOff>
      <xdr:row>15</xdr:row>
      <xdr:rowOff>25400</xdr:rowOff>
    </xdr:from>
    <xdr:ext cx="530658" cy="183268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319683A-99C4-4D4C-8975-7467B3A43C7F}"/>
            </a:ext>
          </a:extLst>
        </xdr:cNvPr>
        <xdr:cNvSpPr txBox="1"/>
      </xdr:nvSpPr>
      <xdr:spPr>
        <a:xfrm rot="16200000">
          <a:off x="11715615" y="3600587"/>
          <a:ext cx="1832681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ELEVATION</a:t>
          </a:r>
        </a:p>
      </xdr:txBody>
    </xdr:sp>
    <xdr:clientData/>
  </xdr:oneCellAnchor>
  <xdr:oneCellAnchor>
    <xdr:from>
      <xdr:col>35</xdr:col>
      <xdr:colOff>114301</xdr:colOff>
      <xdr:row>31</xdr:row>
      <xdr:rowOff>165100</xdr:rowOff>
    </xdr:from>
    <xdr:ext cx="953274" cy="53065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BE136CC-952D-49E3-A3A2-26F263892AFE}"/>
            </a:ext>
          </a:extLst>
        </xdr:cNvPr>
        <xdr:cNvSpPr txBox="1"/>
      </xdr:nvSpPr>
      <xdr:spPr>
        <a:xfrm>
          <a:off x="15706726" y="5984875"/>
          <a:ext cx="953274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DAYS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y%20Drive\EFCOS%20FILES\1.%20Rainfall%20and%20Waterlevel%20Data%20Sheet\1994%20to%202023\2023\Monthly\7.%20JULY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ul1"/>
      <sheetName val="Jul2"/>
      <sheetName val="Jul3"/>
      <sheetName val="Jul4"/>
      <sheetName val="JUL5"/>
      <sheetName val="Jul6"/>
      <sheetName val="Jul7"/>
      <sheetName val="Jul8"/>
      <sheetName val="Jul9"/>
      <sheetName val="Jul10"/>
      <sheetName val="Jul11"/>
      <sheetName val="Jul12"/>
      <sheetName val="Jul13"/>
      <sheetName val="Jul14"/>
      <sheetName val="Jul15"/>
      <sheetName val="Jul16"/>
      <sheetName val="Jul17"/>
      <sheetName val="Jul18"/>
      <sheetName val="Jul19"/>
      <sheetName val="Jul20"/>
      <sheetName val="Jul21"/>
      <sheetName val="Jul22"/>
      <sheetName val="Jul23"/>
      <sheetName val="Jul24"/>
      <sheetName val="Jul25"/>
      <sheetName val="Jul26"/>
      <sheetName val="Jul27"/>
      <sheetName val="Jul28"/>
      <sheetName val="Jul29"/>
      <sheetName val="Jul30"/>
      <sheetName val="Jul31"/>
      <sheetName val="MT. CAMPANA"/>
      <sheetName val="BOSO BOSO"/>
      <sheetName val="ARIES"/>
      <sheetName val="MT. ORO"/>
      <sheetName val="NANGKA RGS"/>
      <sheetName val="MONTALBAN"/>
      <sheetName val="NANGKA WLGS"/>
      <sheetName val="STO.NINO"/>
      <sheetName val="NAPINDAN RGS"/>
      <sheetName val="SCIENCE GARDEN"/>
      <sheetName val="ROSARIO JS"/>
      <sheetName val="ROSARIO LS"/>
      <sheetName val="NAPINDAN JS"/>
      <sheetName val="NAPINDAN LS"/>
      <sheetName val="SAN JUAN"/>
      <sheetName val="PANDACAN"/>
      <sheetName val="FORT SANTIAGO"/>
      <sheetName val="ANGONO"/>
    </sheetNames>
    <sheetDataSet>
      <sheetData sheetId="0">
        <row r="24">
          <cell r="B24">
            <v>11.81</v>
          </cell>
          <cell r="C24">
            <v>11.81</v>
          </cell>
          <cell r="D24">
            <v>11.81</v>
          </cell>
          <cell r="E24">
            <v>11.81</v>
          </cell>
          <cell r="F24">
            <v>11.81</v>
          </cell>
          <cell r="G24">
            <v>11.81</v>
          </cell>
          <cell r="H24">
            <v>11.81</v>
          </cell>
          <cell r="I24">
            <v>11.81</v>
          </cell>
          <cell r="J24">
            <v>11.81</v>
          </cell>
          <cell r="K24">
            <v>11.81</v>
          </cell>
          <cell r="L24">
            <v>11.81</v>
          </cell>
          <cell r="M24">
            <v>11.81</v>
          </cell>
          <cell r="N24">
            <v>11.81</v>
          </cell>
          <cell r="O24">
            <v>11.81</v>
          </cell>
          <cell r="P24">
            <v>11.81</v>
          </cell>
          <cell r="Q24">
            <v>11.81</v>
          </cell>
          <cell r="R24">
            <v>11.83</v>
          </cell>
          <cell r="S24">
            <v>11.94</v>
          </cell>
          <cell r="T24">
            <v>11.99</v>
          </cell>
          <cell r="U24">
            <v>12.01</v>
          </cell>
          <cell r="V24">
            <v>12</v>
          </cell>
          <cell r="W24">
            <v>11.98</v>
          </cell>
          <cell r="X24">
            <v>11.96</v>
          </cell>
          <cell r="Y24">
            <v>11.94</v>
          </cell>
        </row>
      </sheetData>
      <sheetData sheetId="1">
        <row r="24">
          <cell r="B24">
            <v>11.91</v>
          </cell>
          <cell r="C24">
            <v>11.88</v>
          </cell>
          <cell r="D24">
            <v>11.86</v>
          </cell>
          <cell r="E24">
            <v>11.82</v>
          </cell>
          <cell r="F24">
            <v>11.81</v>
          </cell>
          <cell r="G24">
            <v>11.82</v>
          </cell>
          <cell r="H24">
            <v>11.85</v>
          </cell>
          <cell r="I24">
            <v>11.81</v>
          </cell>
          <cell r="J24">
            <v>11.81</v>
          </cell>
          <cell r="K24">
            <v>11.81</v>
          </cell>
          <cell r="L24">
            <v>11.81</v>
          </cell>
          <cell r="M24">
            <v>11.81</v>
          </cell>
          <cell r="N24">
            <v>11.81</v>
          </cell>
          <cell r="O24">
            <v>11.81</v>
          </cell>
          <cell r="P24">
            <v>11.81</v>
          </cell>
          <cell r="Q24">
            <v>11.81</v>
          </cell>
          <cell r="R24">
            <v>11.81</v>
          </cell>
          <cell r="S24">
            <v>11.81</v>
          </cell>
          <cell r="T24">
            <v>11.81</v>
          </cell>
          <cell r="U24">
            <v>11.81</v>
          </cell>
          <cell r="V24">
            <v>11.81</v>
          </cell>
          <cell r="W24">
            <v>11.81</v>
          </cell>
          <cell r="X24">
            <v>11.81</v>
          </cell>
          <cell r="Y24">
            <v>11.81</v>
          </cell>
        </row>
      </sheetData>
      <sheetData sheetId="2">
        <row r="24">
          <cell r="B24">
            <v>11.81</v>
          </cell>
          <cell r="C24">
            <v>11.81</v>
          </cell>
          <cell r="D24">
            <v>11.81</v>
          </cell>
          <cell r="E24">
            <v>11.81</v>
          </cell>
          <cell r="F24">
            <v>11.81</v>
          </cell>
          <cell r="G24">
            <v>11.81</v>
          </cell>
          <cell r="H24">
            <v>11.81</v>
          </cell>
          <cell r="I24">
            <v>11.81</v>
          </cell>
          <cell r="J24">
            <v>11.81</v>
          </cell>
          <cell r="K24">
            <v>11.81</v>
          </cell>
          <cell r="L24">
            <v>11.81</v>
          </cell>
          <cell r="M24">
            <v>11.81</v>
          </cell>
          <cell r="N24">
            <v>11.81</v>
          </cell>
          <cell r="O24">
            <v>11.81</v>
          </cell>
          <cell r="P24">
            <v>11.81</v>
          </cell>
          <cell r="Q24">
            <v>11.81</v>
          </cell>
          <cell r="R24">
            <v>11.81</v>
          </cell>
          <cell r="S24">
            <v>11.81</v>
          </cell>
          <cell r="T24">
            <v>11.81</v>
          </cell>
          <cell r="U24">
            <v>11.81</v>
          </cell>
          <cell r="V24">
            <v>11.31</v>
          </cell>
          <cell r="W24">
            <v>11.81</v>
          </cell>
          <cell r="X24">
            <v>11.81</v>
          </cell>
          <cell r="Y24">
            <v>11.81</v>
          </cell>
        </row>
      </sheetData>
      <sheetData sheetId="3">
        <row r="24">
          <cell r="B24">
            <v>11.81</v>
          </cell>
          <cell r="C24">
            <v>11.81</v>
          </cell>
          <cell r="D24">
            <v>11.81</v>
          </cell>
          <cell r="E24">
            <v>11.81</v>
          </cell>
          <cell r="F24">
            <v>11.81</v>
          </cell>
          <cell r="G24">
            <v>11.81</v>
          </cell>
          <cell r="H24">
            <v>11.81</v>
          </cell>
          <cell r="I24">
            <v>11.81</v>
          </cell>
          <cell r="J24">
            <v>11.81</v>
          </cell>
          <cell r="K24">
            <v>11.81</v>
          </cell>
          <cell r="L24">
            <v>11.81</v>
          </cell>
          <cell r="M24">
            <v>11.81</v>
          </cell>
          <cell r="N24">
            <v>11.81</v>
          </cell>
          <cell r="O24">
            <v>11.81</v>
          </cell>
          <cell r="P24">
            <v>11.81</v>
          </cell>
          <cell r="Q24">
            <v>11.81</v>
          </cell>
          <cell r="R24">
            <v>11.81</v>
          </cell>
          <cell r="S24">
            <v>11.81</v>
          </cell>
          <cell r="T24">
            <v>11.81</v>
          </cell>
          <cell r="U24">
            <v>11.81</v>
          </cell>
          <cell r="V24">
            <v>11.81</v>
          </cell>
          <cell r="W24">
            <v>11.81</v>
          </cell>
          <cell r="X24">
            <v>11.81</v>
          </cell>
          <cell r="Y24">
            <v>11.81</v>
          </cell>
        </row>
      </sheetData>
      <sheetData sheetId="4">
        <row r="24">
          <cell r="B24">
            <v>11.81</v>
          </cell>
          <cell r="C24">
            <v>11.81</v>
          </cell>
          <cell r="D24">
            <v>11.81</v>
          </cell>
          <cell r="E24">
            <v>11.81</v>
          </cell>
          <cell r="F24">
            <v>11.81</v>
          </cell>
          <cell r="G24">
            <v>11.81</v>
          </cell>
          <cell r="H24">
            <v>11.81</v>
          </cell>
          <cell r="I24">
            <v>11.81</v>
          </cell>
          <cell r="J24">
            <v>11.81</v>
          </cell>
          <cell r="K24">
            <v>11.81</v>
          </cell>
          <cell r="L24">
            <v>11.81</v>
          </cell>
          <cell r="M24">
            <v>11.81</v>
          </cell>
          <cell r="N24">
            <v>11.81</v>
          </cell>
          <cell r="O24">
            <v>11.81</v>
          </cell>
          <cell r="P24">
            <v>11.81</v>
          </cell>
          <cell r="Q24">
            <v>11.81</v>
          </cell>
          <cell r="R24">
            <v>11.81</v>
          </cell>
          <cell r="S24">
            <v>11.81</v>
          </cell>
          <cell r="T24">
            <v>11.81</v>
          </cell>
          <cell r="U24">
            <v>11.81</v>
          </cell>
          <cell r="V24">
            <v>11.81</v>
          </cell>
          <cell r="W24">
            <v>11.81</v>
          </cell>
          <cell r="X24">
            <v>11.81</v>
          </cell>
          <cell r="Y24">
            <v>11.81</v>
          </cell>
        </row>
      </sheetData>
      <sheetData sheetId="5">
        <row r="24">
          <cell r="B24">
            <v>11.81</v>
          </cell>
          <cell r="C24">
            <v>11.81</v>
          </cell>
          <cell r="D24">
            <v>11.81</v>
          </cell>
          <cell r="E24">
            <v>11.81</v>
          </cell>
          <cell r="F24">
            <v>11.81</v>
          </cell>
          <cell r="G24">
            <v>11.81</v>
          </cell>
          <cell r="H24">
            <v>11.81</v>
          </cell>
          <cell r="I24">
            <v>11.81</v>
          </cell>
          <cell r="J24">
            <v>11.81</v>
          </cell>
          <cell r="K24">
            <v>11.81</v>
          </cell>
          <cell r="L24">
            <v>11.81</v>
          </cell>
          <cell r="M24">
            <v>11.81</v>
          </cell>
          <cell r="N24">
            <v>11.81</v>
          </cell>
          <cell r="O24">
            <v>11.81</v>
          </cell>
          <cell r="P24">
            <v>11.81</v>
          </cell>
          <cell r="Q24">
            <v>11.81</v>
          </cell>
          <cell r="R24">
            <v>11.81</v>
          </cell>
          <cell r="S24">
            <v>11.81</v>
          </cell>
          <cell r="T24">
            <v>11.8</v>
          </cell>
          <cell r="U24">
            <v>11.8</v>
          </cell>
          <cell r="V24">
            <v>11.8</v>
          </cell>
          <cell r="W24">
            <v>11.8</v>
          </cell>
          <cell r="X24">
            <v>11.8</v>
          </cell>
          <cell r="Y24">
            <v>11.8</v>
          </cell>
        </row>
      </sheetData>
      <sheetData sheetId="6">
        <row r="24">
          <cell r="B24">
            <v>11.8</v>
          </cell>
          <cell r="C24">
            <v>11.8</v>
          </cell>
          <cell r="D24">
            <v>11.8</v>
          </cell>
          <cell r="E24">
            <v>11.8</v>
          </cell>
          <cell r="F24">
            <v>11.8</v>
          </cell>
          <cell r="G24">
            <v>11.8</v>
          </cell>
          <cell r="H24">
            <v>11.8</v>
          </cell>
          <cell r="I24">
            <v>11.8</v>
          </cell>
          <cell r="J24">
            <v>11.8</v>
          </cell>
          <cell r="K24">
            <v>11.8</v>
          </cell>
          <cell r="L24">
            <v>11.8</v>
          </cell>
          <cell r="M24">
            <v>11.8</v>
          </cell>
          <cell r="N24">
            <v>11.8</v>
          </cell>
          <cell r="O24">
            <v>11.8</v>
          </cell>
          <cell r="P24">
            <v>11.8</v>
          </cell>
          <cell r="Q24">
            <v>11.8</v>
          </cell>
          <cell r="R24">
            <v>11.8</v>
          </cell>
          <cell r="S24">
            <v>11.8</v>
          </cell>
          <cell r="T24">
            <v>11.8</v>
          </cell>
          <cell r="U24">
            <v>11.8</v>
          </cell>
          <cell r="V24">
            <v>11.8</v>
          </cell>
          <cell r="W24">
            <v>11.8</v>
          </cell>
          <cell r="X24">
            <v>11.8</v>
          </cell>
          <cell r="Y24">
            <v>11.8</v>
          </cell>
        </row>
      </sheetData>
      <sheetData sheetId="7">
        <row r="24">
          <cell r="B24">
            <v>11.8</v>
          </cell>
          <cell r="C24">
            <v>11.8</v>
          </cell>
          <cell r="D24">
            <v>11.8</v>
          </cell>
          <cell r="E24">
            <v>11.8</v>
          </cell>
          <cell r="F24">
            <v>11.8</v>
          </cell>
          <cell r="G24">
            <v>11.8</v>
          </cell>
          <cell r="H24">
            <v>11.8</v>
          </cell>
          <cell r="I24">
            <v>11.8</v>
          </cell>
          <cell r="J24">
            <v>11.8</v>
          </cell>
          <cell r="K24">
            <v>11.8</v>
          </cell>
          <cell r="L24">
            <v>11.8</v>
          </cell>
          <cell r="M24">
            <v>11.8</v>
          </cell>
          <cell r="N24">
            <v>11.8</v>
          </cell>
          <cell r="O24">
            <v>11.8</v>
          </cell>
          <cell r="P24">
            <v>11.8</v>
          </cell>
          <cell r="Q24">
            <v>11.8</v>
          </cell>
          <cell r="R24">
            <v>11.8</v>
          </cell>
          <cell r="S24">
            <v>11.8</v>
          </cell>
          <cell r="T24">
            <v>11.8</v>
          </cell>
          <cell r="U24">
            <v>11.8</v>
          </cell>
          <cell r="V24">
            <v>11.8</v>
          </cell>
          <cell r="W24">
            <v>11.8</v>
          </cell>
          <cell r="X24">
            <v>11.8</v>
          </cell>
          <cell r="Y24">
            <v>11.8</v>
          </cell>
        </row>
      </sheetData>
      <sheetData sheetId="8">
        <row r="24">
          <cell r="B24">
            <v>11.8</v>
          </cell>
          <cell r="C24">
            <v>11.8</v>
          </cell>
          <cell r="D24">
            <v>11.8</v>
          </cell>
          <cell r="E24">
            <v>11.8</v>
          </cell>
          <cell r="F24">
            <v>11.8</v>
          </cell>
          <cell r="G24">
            <v>11.8</v>
          </cell>
          <cell r="H24">
            <v>11.9</v>
          </cell>
          <cell r="I24">
            <v>11.81</v>
          </cell>
          <cell r="J24">
            <v>11.81</v>
          </cell>
          <cell r="K24">
            <v>11.81</v>
          </cell>
          <cell r="L24">
            <v>11.94</v>
          </cell>
          <cell r="M24">
            <v>11.81</v>
          </cell>
          <cell r="N24">
            <v>11.81</v>
          </cell>
          <cell r="O24">
            <v>11.81</v>
          </cell>
          <cell r="P24">
            <v>11.81</v>
          </cell>
          <cell r="Q24">
            <v>11.81</v>
          </cell>
          <cell r="R24">
            <v>11.81</v>
          </cell>
          <cell r="S24">
            <v>11.81</v>
          </cell>
          <cell r="T24">
            <v>11.81</v>
          </cell>
          <cell r="U24">
            <v>11.81</v>
          </cell>
          <cell r="V24">
            <v>11.81</v>
          </cell>
          <cell r="W24">
            <v>11.81</v>
          </cell>
          <cell r="X24">
            <v>11.81</v>
          </cell>
          <cell r="Y24">
            <v>11.81</v>
          </cell>
        </row>
      </sheetData>
      <sheetData sheetId="9">
        <row r="24">
          <cell r="B24">
            <v>11.81</v>
          </cell>
          <cell r="C24">
            <v>11.81</v>
          </cell>
          <cell r="D24">
            <v>11.81</v>
          </cell>
          <cell r="E24">
            <v>11.81</v>
          </cell>
          <cell r="F24">
            <v>11.81</v>
          </cell>
          <cell r="G24">
            <v>11.81</v>
          </cell>
          <cell r="H24">
            <v>11.81</v>
          </cell>
          <cell r="I24">
            <v>11.81</v>
          </cell>
          <cell r="J24">
            <v>11.81</v>
          </cell>
          <cell r="K24">
            <v>11.81</v>
          </cell>
          <cell r="L24">
            <v>11.81</v>
          </cell>
          <cell r="M24">
            <v>11.81</v>
          </cell>
          <cell r="N24">
            <v>11.81</v>
          </cell>
          <cell r="O24">
            <v>11.81</v>
          </cell>
          <cell r="P24">
            <v>11.81</v>
          </cell>
          <cell r="Q24">
            <v>11.81</v>
          </cell>
          <cell r="R24">
            <v>11.81</v>
          </cell>
          <cell r="S24">
            <v>11.81</v>
          </cell>
          <cell r="T24">
            <v>11.81</v>
          </cell>
          <cell r="U24">
            <v>11.81</v>
          </cell>
          <cell r="V24">
            <v>11.81</v>
          </cell>
          <cell r="W24">
            <v>11.81</v>
          </cell>
          <cell r="X24">
            <v>11.81</v>
          </cell>
          <cell r="Y24">
            <v>11.81</v>
          </cell>
        </row>
      </sheetData>
      <sheetData sheetId="10">
        <row r="24">
          <cell r="B24">
            <v>11.81</v>
          </cell>
          <cell r="C24">
            <v>11.81</v>
          </cell>
          <cell r="D24">
            <v>11.81</v>
          </cell>
          <cell r="E24">
            <v>11.81</v>
          </cell>
          <cell r="F24">
            <v>11.81</v>
          </cell>
          <cell r="G24">
            <v>11.81</v>
          </cell>
          <cell r="H24">
            <v>11.81</v>
          </cell>
          <cell r="I24">
            <v>11.81</v>
          </cell>
          <cell r="J24">
            <v>11.81</v>
          </cell>
          <cell r="K24">
            <v>11.81</v>
          </cell>
          <cell r="L24">
            <v>11.81</v>
          </cell>
          <cell r="M24">
            <v>11.81</v>
          </cell>
          <cell r="N24">
            <v>11.81</v>
          </cell>
          <cell r="O24">
            <v>11.81</v>
          </cell>
          <cell r="P24">
            <v>11.81</v>
          </cell>
          <cell r="Q24">
            <v>11.81</v>
          </cell>
          <cell r="R24">
            <v>11.81</v>
          </cell>
          <cell r="S24">
            <v>11.81</v>
          </cell>
          <cell r="T24">
            <v>11.81</v>
          </cell>
          <cell r="U24">
            <v>11.81</v>
          </cell>
          <cell r="V24">
            <v>11.81</v>
          </cell>
          <cell r="W24">
            <v>11.81</v>
          </cell>
          <cell r="X24">
            <v>11.81</v>
          </cell>
          <cell r="Y24">
            <v>11.81</v>
          </cell>
        </row>
      </sheetData>
      <sheetData sheetId="11">
        <row r="24">
          <cell r="B24">
            <v>11.81</v>
          </cell>
          <cell r="C24">
            <v>11.81</v>
          </cell>
          <cell r="D24">
            <v>11.81</v>
          </cell>
          <cell r="E24">
            <v>11.81</v>
          </cell>
          <cell r="F24">
            <v>11.81</v>
          </cell>
          <cell r="G24">
            <v>11.81</v>
          </cell>
          <cell r="H24">
            <v>11.81</v>
          </cell>
          <cell r="I24">
            <v>11.81</v>
          </cell>
          <cell r="J24">
            <v>11.81</v>
          </cell>
          <cell r="K24">
            <v>11.81</v>
          </cell>
          <cell r="L24">
            <v>11.81</v>
          </cell>
          <cell r="M24">
            <v>11.81</v>
          </cell>
          <cell r="N24">
            <v>11.81</v>
          </cell>
          <cell r="O24">
            <v>11.81</v>
          </cell>
          <cell r="P24">
            <v>11.81</v>
          </cell>
          <cell r="Q24">
            <v>11.81</v>
          </cell>
          <cell r="R24">
            <v>11.81</v>
          </cell>
          <cell r="S24">
            <v>11.81</v>
          </cell>
          <cell r="T24">
            <v>11.81</v>
          </cell>
          <cell r="U24">
            <v>11.81</v>
          </cell>
          <cell r="V24">
            <v>11.81</v>
          </cell>
          <cell r="W24">
            <v>11.81</v>
          </cell>
          <cell r="X24">
            <v>11.81</v>
          </cell>
          <cell r="Y24">
            <v>11.81</v>
          </cell>
        </row>
      </sheetData>
      <sheetData sheetId="12">
        <row r="24">
          <cell r="B24">
            <v>11.81</v>
          </cell>
          <cell r="C24">
            <v>11.81</v>
          </cell>
          <cell r="D24">
            <v>11.81</v>
          </cell>
          <cell r="E24">
            <v>11.81</v>
          </cell>
          <cell r="F24">
            <v>11.84</v>
          </cell>
          <cell r="G24">
            <v>11.88</v>
          </cell>
          <cell r="H24">
            <v>11.94</v>
          </cell>
          <cell r="I24">
            <v>11.89</v>
          </cell>
          <cell r="J24">
            <v>11.86</v>
          </cell>
          <cell r="K24">
            <v>12.05</v>
          </cell>
          <cell r="L24">
            <v>13.46</v>
          </cell>
          <cell r="M24">
            <v>14.15</v>
          </cell>
          <cell r="N24">
            <v>14.11</v>
          </cell>
          <cell r="O24">
            <v>13.58</v>
          </cell>
          <cell r="P24">
            <v>13.08</v>
          </cell>
          <cell r="Q24">
            <v>13.01</v>
          </cell>
          <cell r="R24">
            <v>13.2</v>
          </cell>
          <cell r="S24">
            <v>13.34</v>
          </cell>
          <cell r="T24">
            <v>13.33</v>
          </cell>
          <cell r="U24">
            <v>13.27</v>
          </cell>
          <cell r="V24">
            <v>13.12</v>
          </cell>
          <cell r="W24">
            <v>13.01</v>
          </cell>
          <cell r="X24">
            <v>12.89</v>
          </cell>
          <cell r="Y24">
            <v>12.79</v>
          </cell>
        </row>
      </sheetData>
      <sheetData sheetId="13">
        <row r="24">
          <cell r="B24">
            <v>12.67</v>
          </cell>
          <cell r="C24">
            <v>12.55</v>
          </cell>
          <cell r="D24">
            <v>12.47</v>
          </cell>
          <cell r="E24">
            <v>12.36</v>
          </cell>
          <cell r="F24">
            <v>12.27</v>
          </cell>
          <cell r="G24">
            <v>12.2</v>
          </cell>
          <cell r="H24">
            <v>12.14</v>
          </cell>
          <cell r="I24">
            <v>12.09</v>
          </cell>
          <cell r="J24">
            <v>12.03</v>
          </cell>
          <cell r="K24">
            <v>11.98</v>
          </cell>
          <cell r="L24">
            <v>12.01</v>
          </cell>
          <cell r="M24">
            <v>12.79</v>
          </cell>
          <cell r="N24">
            <v>12.95</v>
          </cell>
          <cell r="O24">
            <v>13.2</v>
          </cell>
          <cell r="P24">
            <v>13.33</v>
          </cell>
          <cell r="Q24">
            <v>13.32</v>
          </cell>
          <cell r="R24">
            <v>13</v>
          </cell>
          <cell r="S24">
            <v>12.79</v>
          </cell>
          <cell r="T24">
            <v>12.67</v>
          </cell>
          <cell r="U24">
            <v>12.63</v>
          </cell>
          <cell r="V24">
            <v>12.66</v>
          </cell>
          <cell r="W24">
            <v>12.68</v>
          </cell>
          <cell r="X24">
            <v>12.69</v>
          </cell>
          <cell r="Y24">
            <v>12.68</v>
          </cell>
        </row>
      </sheetData>
      <sheetData sheetId="14">
        <row r="24">
          <cell r="B24">
            <v>12.67</v>
          </cell>
          <cell r="C24">
            <v>12.62</v>
          </cell>
          <cell r="D24">
            <v>12.55</v>
          </cell>
          <cell r="E24">
            <v>12.49</v>
          </cell>
          <cell r="F24">
            <v>12.46</v>
          </cell>
          <cell r="G24">
            <v>12.54</v>
          </cell>
          <cell r="H24">
            <v>12.56</v>
          </cell>
          <cell r="I24">
            <v>12.54</v>
          </cell>
          <cell r="J24">
            <v>12.54</v>
          </cell>
          <cell r="K24">
            <v>12.52</v>
          </cell>
          <cell r="L24">
            <v>12.46</v>
          </cell>
          <cell r="M24">
            <v>12.4</v>
          </cell>
          <cell r="N24">
            <v>12.38</v>
          </cell>
          <cell r="O24">
            <v>12.42</v>
          </cell>
          <cell r="P24">
            <v>12.46</v>
          </cell>
          <cell r="Q24">
            <v>12.52</v>
          </cell>
          <cell r="R24">
            <v>12.51</v>
          </cell>
          <cell r="S24">
            <v>12.5</v>
          </cell>
          <cell r="T24">
            <v>12.55</v>
          </cell>
          <cell r="U24">
            <v>12.63</v>
          </cell>
          <cell r="V24">
            <v>12.7</v>
          </cell>
          <cell r="W24">
            <v>13.25</v>
          </cell>
          <cell r="X24">
            <v>13.5</v>
          </cell>
          <cell r="Y24">
            <v>13.361000000000001</v>
          </cell>
        </row>
      </sheetData>
      <sheetData sheetId="15">
        <row r="24">
          <cell r="B24">
            <v>13.57</v>
          </cell>
          <cell r="C24">
            <v>13.47</v>
          </cell>
          <cell r="D24">
            <v>13.37</v>
          </cell>
          <cell r="E24">
            <v>13.34</v>
          </cell>
          <cell r="F24">
            <v>13.33</v>
          </cell>
          <cell r="G24">
            <v>13.34</v>
          </cell>
          <cell r="H24">
            <v>13.3</v>
          </cell>
          <cell r="I24">
            <v>13.27</v>
          </cell>
          <cell r="J24">
            <v>13.21</v>
          </cell>
          <cell r="K24">
            <v>13.14</v>
          </cell>
          <cell r="L24">
            <v>13.04</v>
          </cell>
          <cell r="M24">
            <v>12.97</v>
          </cell>
          <cell r="N24">
            <v>12.9</v>
          </cell>
          <cell r="O24">
            <v>12.83</v>
          </cell>
          <cell r="P24">
            <v>12.79</v>
          </cell>
          <cell r="Q24">
            <v>12.91</v>
          </cell>
          <cell r="R24">
            <v>13.17</v>
          </cell>
          <cell r="S24">
            <v>13.27</v>
          </cell>
          <cell r="T24">
            <v>13.31</v>
          </cell>
          <cell r="U24">
            <v>13.28</v>
          </cell>
          <cell r="V24">
            <v>13.17</v>
          </cell>
          <cell r="W24">
            <v>13.02</v>
          </cell>
          <cell r="X24">
            <v>12.92</v>
          </cell>
          <cell r="Y24">
            <v>12.85</v>
          </cell>
        </row>
      </sheetData>
      <sheetData sheetId="16">
        <row r="24">
          <cell r="B24">
            <v>12.79</v>
          </cell>
          <cell r="C24">
            <v>12.76</v>
          </cell>
          <cell r="D24">
            <v>12.73</v>
          </cell>
          <cell r="E24">
            <v>12.69</v>
          </cell>
          <cell r="F24">
            <v>12.68</v>
          </cell>
          <cell r="G24">
            <v>12.72</v>
          </cell>
          <cell r="H24">
            <v>12.68</v>
          </cell>
          <cell r="I24">
            <v>12.63</v>
          </cell>
          <cell r="J24">
            <v>12.6</v>
          </cell>
          <cell r="K24">
            <v>12.57</v>
          </cell>
          <cell r="L24">
            <v>12.53</v>
          </cell>
          <cell r="M24">
            <v>12.5</v>
          </cell>
          <cell r="N24">
            <v>12.46</v>
          </cell>
          <cell r="O24">
            <v>12.43</v>
          </cell>
          <cell r="P24">
            <v>12.4</v>
          </cell>
          <cell r="Q24">
            <v>12.38</v>
          </cell>
          <cell r="R24">
            <v>12.35</v>
          </cell>
          <cell r="S24">
            <v>12.32</v>
          </cell>
          <cell r="T24">
            <v>12.29</v>
          </cell>
          <cell r="U24">
            <v>12.27</v>
          </cell>
          <cell r="V24">
            <v>12.23</v>
          </cell>
          <cell r="W24">
            <v>12.21</v>
          </cell>
          <cell r="X24">
            <v>12.2</v>
          </cell>
          <cell r="Y24">
            <v>12.18</v>
          </cell>
        </row>
      </sheetData>
      <sheetData sheetId="17">
        <row r="24">
          <cell r="B24">
            <v>12.17</v>
          </cell>
          <cell r="C24">
            <v>12.17</v>
          </cell>
          <cell r="D24">
            <v>12.17</v>
          </cell>
          <cell r="E24">
            <v>12.16</v>
          </cell>
          <cell r="F24">
            <v>12.14</v>
          </cell>
          <cell r="G24">
            <v>12.11</v>
          </cell>
          <cell r="H24">
            <v>12.08</v>
          </cell>
          <cell r="I24">
            <v>12.05</v>
          </cell>
          <cell r="J24">
            <v>12.03</v>
          </cell>
          <cell r="K24">
            <v>12.02</v>
          </cell>
          <cell r="L24">
            <v>12.01</v>
          </cell>
          <cell r="M24">
            <v>11.98</v>
          </cell>
          <cell r="N24">
            <v>11.97</v>
          </cell>
          <cell r="O24">
            <v>11.96</v>
          </cell>
          <cell r="P24">
            <v>11.95</v>
          </cell>
          <cell r="Q24">
            <v>11.93</v>
          </cell>
          <cell r="R24">
            <v>11.92</v>
          </cell>
          <cell r="S24">
            <v>11.92</v>
          </cell>
          <cell r="T24">
            <v>11.9</v>
          </cell>
          <cell r="U24">
            <v>11.89</v>
          </cell>
          <cell r="V24">
            <v>11.89</v>
          </cell>
          <cell r="W24">
            <v>11.88</v>
          </cell>
          <cell r="X24">
            <v>11.86</v>
          </cell>
          <cell r="Y24">
            <v>11.86</v>
          </cell>
        </row>
      </sheetData>
      <sheetData sheetId="18">
        <row r="24">
          <cell r="B24">
            <v>11.88</v>
          </cell>
          <cell r="C24">
            <v>11.89</v>
          </cell>
          <cell r="D24">
            <v>11.91</v>
          </cell>
          <cell r="E24">
            <v>11.92</v>
          </cell>
          <cell r="F24">
            <v>11.91</v>
          </cell>
          <cell r="G24">
            <v>11.9</v>
          </cell>
          <cell r="H24">
            <v>12.21</v>
          </cell>
          <cell r="I24">
            <v>12.22</v>
          </cell>
          <cell r="J24">
            <v>12.31</v>
          </cell>
          <cell r="K24">
            <v>12.17</v>
          </cell>
          <cell r="L24">
            <v>12.03</v>
          </cell>
          <cell r="M24">
            <v>11.94</v>
          </cell>
          <cell r="N24">
            <v>11.88</v>
          </cell>
          <cell r="O24">
            <v>11.84</v>
          </cell>
          <cell r="P24">
            <v>11.82</v>
          </cell>
          <cell r="Q24">
            <v>11.81</v>
          </cell>
          <cell r="R24">
            <v>11.81</v>
          </cell>
          <cell r="S24">
            <v>11.81</v>
          </cell>
          <cell r="T24">
            <v>11.81</v>
          </cell>
          <cell r="U24">
            <v>11.81</v>
          </cell>
          <cell r="V24">
            <v>11.81</v>
          </cell>
          <cell r="W24">
            <v>11.81</v>
          </cell>
          <cell r="X24">
            <v>11.81</v>
          </cell>
          <cell r="Y24">
            <v>11.81</v>
          </cell>
        </row>
      </sheetData>
      <sheetData sheetId="19">
        <row r="24">
          <cell r="B24">
            <v>11.81</v>
          </cell>
          <cell r="C24">
            <v>11.81</v>
          </cell>
          <cell r="D24">
            <v>11.81</v>
          </cell>
          <cell r="E24">
            <v>11.81</v>
          </cell>
          <cell r="F24">
            <v>11.82</v>
          </cell>
          <cell r="G24">
            <v>12.65</v>
          </cell>
          <cell r="H24">
            <v>12.73</v>
          </cell>
          <cell r="I24">
            <v>12.34</v>
          </cell>
          <cell r="J24">
            <v>12.05</v>
          </cell>
          <cell r="K24">
            <v>11.88</v>
          </cell>
          <cell r="L24">
            <v>11.82</v>
          </cell>
          <cell r="M24">
            <v>11.81</v>
          </cell>
          <cell r="N24">
            <v>11.81</v>
          </cell>
          <cell r="O24">
            <v>11.81</v>
          </cell>
          <cell r="P24">
            <v>11.81</v>
          </cell>
          <cell r="Q24">
            <v>11.81</v>
          </cell>
          <cell r="R24">
            <v>11.81</v>
          </cell>
          <cell r="S24">
            <v>11.81</v>
          </cell>
          <cell r="T24">
            <v>11.81</v>
          </cell>
          <cell r="U24">
            <v>11.81</v>
          </cell>
          <cell r="V24">
            <v>11.81</v>
          </cell>
          <cell r="W24">
            <v>11.81</v>
          </cell>
          <cell r="X24">
            <v>11.81</v>
          </cell>
          <cell r="Y24">
            <v>11.81</v>
          </cell>
        </row>
      </sheetData>
      <sheetData sheetId="20">
        <row r="24">
          <cell r="B24">
            <v>11.81</v>
          </cell>
          <cell r="C24">
            <v>11.81</v>
          </cell>
          <cell r="D24">
            <v>11.81</v>
          </cell>
          <cell r="E24">
            <v>11.81</v>
          </cell>
          <cell r="F24">
            <v>11.81</v>
          </cell>
          <cell r="G24">
            <v>11.81</v>
          </cell>
          <cell r="H24">
            <v>11.81</v>
          </cell>
          <cell r="I24">
            <v>11.81</v>
          </cell>
          <cell r="J24">
            <v>11.83</v>
          </cell>
          <cell r="K24">
            <v>11.86</v>
          </cell>
          <cell r="L24">
            <v>11.82</v>
          </cell>
          <cell r="M24">
            <v>11.81</v>
          </cell>
          <cell r="N24">
            <v>11.81</v>
          </cell>
          <cell r="O24">
            <v>11.81</v>
          </cell>
          <cell r="P24">
            <v>11.81</v>
          </cell>
          <cell r="Q24">
            <v>11.81</v>
          </cell>
          <cell r="R24">
            <v>11.81</v>
          </cell>
          <cell r="S24">
            <v>11.81</v>
          </cell>
          <cell r="T24">
            <v>11.81</v>
          </cell>
          <cell r="U24">
            <v>11.81</v>
          </cell>
          <cell r="V24">
            <v>11.81</v>
          </cell>
          <cell r="W24">
            <v>11.81</v>
          </cell>
          <cell r="X24">
            <v>11.81</v>
          </cell>
          <cell r="Y24">
            <v>11.81</v>
          </cell>
        </row>
      </sheetData>
      <sheetData sheetId="21">
        <row r="24">
          <cell r="B24">
            <v>11.81</v>
          </cell>
          <cell r="C24">
            <v>11.81</v>
          </cell>
          <cell r="D24">
            <v>11.81</v>
          </cell>
          <cell r="E24">
            <v>11.81</v>
          </cell>
          <cell r="F24">
            <v>11.81</v>
          </cell>
          <cell r="G24">
            <v>11.85</v>
          </cell>
          <cell r="H24">
            <v>11.91</v>
          </cell>
          <cell r="I24">
            <v>11.85</v>
          </cell>
          <cell r="J24">
            <v>11.88</v>
          </cell>
          <cell r="K24">
            <v>11.83</v>
          </cell>
          <cell r="L24">
            <v>11.82</v>
          </cell>
          <cell r="M24">
            <v>11.85</v>
          </cell>
          <cell r="N24">
            <v>11.82</v>
          </cell>
          <cell r="O24">
            <v>11.81</v>
          </cell>
          <cell r="P24">
            <v>11.81</v>
          </cell>
          <cell r="Q24">
            <v>11.81</v>
          </cell>
          <cell r="R24">
            <v>11.81</v>
          </cell>
          <cell r="S24">
            <v>11.81</v>
          </cell>
          <cell r="T24">
            <v>11.81</v>
          </cell>
          <cell r="U24">
            <v>11.81</v>
          </cell>
          <cell r="V24">
            <v>11.81</v>
          </cell>
          <cell r="W24">
            <v>11.81</v>
          </cell>
          <cell r="X24">
            <v>11.8</v>
          </cell>
          <cell r="Y24">
            <v>11.81</v>
          </cell>
        </row>
      </sheetData>
      <sheetData sheetId="22">
        <row r="24">
          <cell r="B24">
            <v>11.81</v>
          </cell>
          <cell r="C24">
            <v>11.81</v>
          </cell>
          <cell r="D24">
            <v>11.81</v>
          </cell>
          <cell r="E24">
            <v>11.81</v>
          </cell>
          <cell r="F24">
            <v>11.81</v>
          </cell>
          <cell r="G24">
            <v>11.81</v>
          </cell>
          <cell r="H24">
            <v>11.81</v>
          </cell>
          <cell r="I24">
            <v>11.81</v>
          </cell>
          <cell r="J24">
            <v>11.81</v>
          </cell>
          <cell r="K24">
            <v>11.81</v>
          </cell>
          <cell r="L24">
            <v>11.81</v>
          </cell>
          <cell r="M24">
            <v>11.81</v>
          </cell>
          <cell r="N24">
            <v>11.81</v>
          </cell>
          <cell r="O24">
            <v>11.85</v>
          </cell>
          <cell r="P24">
            <v>12.06</v>
          </cell>
          <cell r="Q24">
            <v>12.21</v>
          </cell>
          <cell r="R24">
            <v>12.17</v>
          </cell>
          <cell r="S24">
            <v>12.1</v>
          </cell>
          <cell r="T24">
            <v>12.04</v>
          </cell>
          <cell r="U24">
            <v>12.14</v>
          </cell>
          <cell r="V24">
            <v>12.26</v>
          </cell>
          <cell r="W24">
            <v>12.3</v>
          </cell>
          <cell r="X24">
            <v>12.29</v>
          </cell>
          <cell r="Y24">
            <v>12.26</v>
          </cell>
        </row>
      </sheetData>
      <sheetData sheetId="23">
        <row r="24">
          <cell r="B24">
            <v>12.22</v>
          </cell>
          <cell r="C24">
            <v>12.17</v>
          </cell>
          <cell r="D24">
            <v>12.12</v>
          </cell>
          <cell r="E24">
            <v>12.09</v>
          </cell>
          <cell r="F24">
            <v>12.05</v>
          </cell>
          <cell r="G24">
            <v>12.03</v>
          </cell>
          <cell r="H24">
            <v>12</v>
          </cell>
          <cell r="I24">
            <v>11.97</v>
          </cell>
          <cell r="J24">
            <v>11.94</v>
          </cell>
          <cell r="K24">
            <v>11.92</v>
          </cell>
          <cell r="L24">
            <v>11.9</v>
          </cell>
          <cell r="M24">
            <v>11.9</v>
          </cell>
          <cell r="N24">
            <v>12</v>
          </cell>
          <cell r="O24">
            <v>12.27</v>
          </cell>
          <cell r="P24">
            <v>12.54</v>
          </cell>
          <cell r="Q24">
            <v>12.73</v>
          </cell>
          <cell r="R24">
            <v>13.32</v>
          </cell>
          <cell r="S24">
            <v>13.61</v>
          </cell>
          <cell r="T24">
            <v>13.16</v>
          </cell>
          <cell r="U24">
            <v>13.6</v>
          </cell>
          <cell r="V24">
            <v>13.42</v>
          </cell>
          <cell r="W24">
            <v>13.25</v>
          </cell>
          <cell r="X24">
            <v>13.02</v>
          </cell>
          <cell r="Y24">
            <v>12.85</v>
          </cell>
        </row>
      </sheetData>
      <sheetData sheetId="24">
        <row r="24">
          <cell r="B24">
            <v>12.72</v>
          </cell>
          <cell r="C24">
            <v>12.57</v>
          </cell>
          <cell r="D24">
            <v>12.5</v>
          </cell>
          <cell r="E24">
            <v>12.41</v>
          </cell>
          <cell r="F24">
            <v>12.35</v>
          </cell>
          <cell r="G24">
            <v>12.28</v>
          </cell>
          <cell r="H24">
            <v>12.24</v>
          </cell>
          <cell r="I24">
            <v>12.2</v>
          </cell>
          <cell r="J24">
            <v>12.12</v>
          </cell>
          <cell r="K24">
            <v>12.1</v>
          </cell>
          <cell r="L24">
            <v>12.1</v>
          </cell>
          <cell r="M24">
            <v>12.08</v>
          </cell>
          <cell r="N24">
            <v>12.06</v>
          </cell>
          <cell r="O24">
            <v>12.08</v>
          </cell>
          <cell r="P24">
            <v>12.09</v>
          </cell>
          <cell r="Q24">
            <v>12.09</v>
          </cell>
          <cell r="R24">
            <v>12.18</v>
          </cell>
          <cell r="S24">
            <v>12.64</v>
          </cell>
          <cell r="T24">
            <v>12.74</v>
          </cell>
          <cell r="U24">
            <v>13.24</v>
          </cell>
          <cell r="V24">
            <v>13.32</v>
          </cell>
          <cell r="W24">
            <v>13.29</v>
          </cell>
          <cell r="X24">
            <v>13.22</v>
          </cell>
          <cell r="Y24">
            <v>13.25</v>
          </cell>
        </row>
      </sheetData>
      <sheetData sheetId="25">
        <row r="24">
          <cell r="B24">
            <v>13.32</v>
          </cell>
          <cell r="C24">
            <v>13.37</v>
          </cell>
          <cell r="D24">
            <v>13.39</v>
          </cell>
          <cell r="E24">
            <v>13.39</v>
          </cell>
          <cell r="F24">
            <v>13.37</v>
          </cell>
          <cell r="G24">
            <v>13.3</v>
          </cell>
          <cell r="H24">
            <v>13.26</v>
          </cell>
          <cell r="I24">
            <v>13.27</v>
          </cell>
          <cell r="J24">
            <v>13.29</v>
          </cell>
          <cell r="K24">
            <v>13.41</v>
          </cell>
          <cell r="L24">
            <v>13.41</v>
          </cell>
          <cell r="M24">
            <v>13.37</v>
          </cell>
          <cell r="N24">
            <v>13.37</v>
          </cell>
          <cell r="O24">
            <v>13.57</v>
          </cell>
          <cell r="P24">
            <v>14.01</v>
          </cell>
          <cell r="Q24">
            <v>14.04</v>
          </cell>
          <cell r="R24">
            <v>14.34</v>
          </cell>
          <cell r="S24">
            <v>14.51</v>
          </cell>
          <cell r="T24">
            <v>14.61</v>
          </cell>
          <cell r="U24">
            <v>14.72</v>
          </cell>
          <cell r="V24">
            <v>14.86</v>
          </cell>
          <cell r="W24">
            <v>15.12</v>
          </cell>
          <cell r="X24">
            <v>15.27</v>
          </cell>
          <cell r="Y24">
            <v>15.36</v>
          </cell>
        </row>
      </sheetData>
      <sheetData sheetId="26">
        <row r="24">
          <cell r="B24">
            <v>15.63</v>
          </cell>
          <cell r="C24">
            <v>15.78</v>
          </cell>
          <cell r="D24">
            <v>15.86</v>
          </cell>
          <cell r="E24">
            <v>15.92</v>
          </cell>
          <cell r="F24">
            <v>15.89</v>
          </cell>
          <cell r="G24">
            <v>15.78</v>
          </cell>
          <cell r="H24">
            <v>15.75</v>
          </cell>
          <cell r="I24">
            <v>15.63</v>
          </cell>
          <cell r="J24">
            <v>15.46</v>
          </cell>
          <cell r="K24">
            <v>15.32</v>
          </cell>
          <cell r="L24">
            <v>15.15</v>
          </cell>
          <cell r="M24">
            <v>15</v>
          </cell>
          <cell r="N24">
            <v>14.89</v>
          </cell>
          <cell r="O24">
            <v>14.76</v>
          </cell>
          <cell r="P24">
            <v>14.64</v>
          </cell>
          <cell r="Q24">
            <v>14.59</v>
          </cell>
          <cell r="R24">
            <v>14.51</v>
          </cell>
          <cell r="S24">
            <v>14.44</v>
          </cell>
          <cell r="T24">
            <v>14.43</v>
          </cell>
          <cell r="U24">
            <v>14.51</v>
          </cell>
          <cell r="V24">
            <v>14.78</v>
          </cell>
          <cell r="W24">
            <v>14.78</v>
          </cell>
          <cell r="X24">
            <v>14.76</v>
          </cell>
          <cell r="Y24">
            <v>14.7</v>
          </cell>
        </row>
      </sheetData>
      <sheetData sheetId="27">
        <row r="24">
          <cell r="B24">
            <v>14.71</v>
          </cell>
          <cell r="C24">
            <v>14.66</v>
          </cell>
          <cell r="D24">
            <v>14.71</v>
          </cell>
          <cell r="E24">
            <v>14.73</v>
          </cell>
          <cell r="F24">
            <v>14.67</v>
          </cell>
          <cell r="G24">
            <v>14.6</v>
          </cell>
          <cell r="H24">
            <v>14.51</v>
          </cell>
          <cell r="I24">
            <v>14.43</v>
          </cell>
          <cell r="J24">
            <v>14.38</v>
          </cell>
          <cell r="K24">
            <v>14.37</v>
          </cell>
          <cell r="L24">
            <v>14.34</v>
          </cell>
          <cell r="M24">
            <v>14.35</v>
          </cell>
          <cell r="N24">
            <v>14.45</v>
          </cell>
          <cell r="O24">
            <v>14.73</v>
          </cell>
          <cell r="P24">
            <v>14.92</v>
          </cell>
          <cell r="Q24">
            <v>14.94</v>
          </cell>
          <cell r="R24">
            <v>14.88</v>
          </cell>
          <cell r="S24">
            <v>14.79</v>
          </cell>
          <cell r="T24">
            <v>14.72</v>
          </cell>
          <cell r="U24">
            <v>14.67</v>
          </cell>
          <cell r="V24">
            <v>14.61</v>
          </cell>
          <cell r="W24">
            <v>14.52</v>
          </cell>
          <cell r="X24">
            <v>14.43</v>
          </cell>
          <cell r="Y24">
            <v>14.34</v>
          </cell>
        </row>
      </sheetData>
      <sheetData sheetId="28">
        <row r="24">
          <cell r="B24">
            <v>14.25</v>
          </cell>
          <cell r="C24">
            <v>14.14</v>
          </cell>
          <cell r="D24">
            <v>14.06</v>
          </cell>
          <cell r="E24">
            <v>13.98</v>
          </cell>
          <cell r="F24">
            <v>13.96</v>
          </cell>
          <cell r="G24">
            <v>14.17</v>
          </cell>
          <cell r="H24">
            <v>14.57</v>
          </cell>
          <cell r="I24">
            <v>14.75</v>
          </cell>
          <cell r="J24">
            <v>14.83</v>
          </cell>
          <cell r="K24">
            <v>15.44</v>
          </cell>
          <cell r="L24">
            <v>15.92</v>
          </cell>
          <cell r="M24">
            <v>16.36</v>
          </cell>
          <cell r="N24">
            <v>16.62</v>
          </cell>
          <cell r="O24">
            <v>16.66</v>
          </cell>
          <cell r="P24">
            <v>16.600000000000001</v>
          </cell>
          <cell r="Q24">
            <v>16.510000000000002</v>
          </cell>
          <cell r="R24">
            <v>16.47</v>
          </cell>
          <cell r="S24">
            <v>16.38</v>
          </cell>
          <cell r="T24">
            <v>16.22</v>
          </cell>
          <cell r="U24">
            <v>16.04</v>
          </cell>
          <cell r="V24">
            <v>15.87</v>
          </cell>
          <cell r="W24">
            <v>15.75</v>
          </cell>
          <cell r="X24">
            <v>15.58</v>
          </cell>
          <cell r="Y24">
            <v>15.55</v>
          </cell>
        </row>
      </sheetData>
      <sheetData sheetId="29">
        <row r="24">
          <cell r="B24">
            <v>15.46</v>
          </cell>
          <cell r="C24">
            <v>15.26</v>
          </cell>
          <cell r="D24">
            <v>15.06</v>
          </cell>
          <cell r="E24">
            <v>14.88</v>
          </cell>
          <cell r="F24">
            <v>14.12</v>
          </cell>
          <cell r="G24">
            <v>14.61</v>
          </cell>
          <cell r="H24">
            <v>14.5</v>
          </cell>
          <cell r="I24">
            <v>14.39</v>
          </cell>
          <cell r="J24">
            <v>14.89</v>
          </cell>
          <cell r="K24">
            <v>14.17</v>
          </cell>
          <cell r="L24">
            <v>14.09</v>
          </cell>
          <cell r="M24">
            <v>14.03</v>
          </cell>
          <cell r="N24">
            <v>13.97</v>
          </cell>
          <cell r="O24">
            <v>13.93</v>
          </cell>
          <cell r="P24">
            <v>13.89</v>
          </cell>
          <cell r="Q24">
            <v>13.84</v>
          </cell>
          <cell r="R24">
            <v>13.78</v>
          </cell>
          <cell r="S24">
            <v>12.75</v>
          </cell>
          <cell r="T24">
            <v>13.74</v>
          </cell>
          <cell r="U24">
            <v>13.7</v>
          </cell>
          <cell r="V24">
            <v>13.71</v>
          </cell>
          <cell r="W24">
            <v>13.68</v>
          </cell>
          <cell r="X24">
            <v>13.92</v>
          </cell>
          <cell r="Y24">
            <v>14.08</v>
          </cell>
        </row>
      </sheetData>
      <sheetData sheetId="30">
        <row r="24">
          <cell r="B24">
            <v>14.06</v>
          </cell>
          <cell r="C24">
            <v>14.09</v>
          </cell>
          <cell r="D24">
            <v>14.03</v>
          </cell>
          <cell r="E24">
            <v>13.96</v>
          </cell>
          <cell r="F24">
            <v>13.89</v>
          </cell>
          <cell r="G24">
            <v>13.91</v>
          </cell>
          <cell r="H24">
            <v>14.14</v>
          </cell>
          <cell r="I24">
            <v>14.16</v>
          </cell>
          <cell r="J24">
            <v>14.14</v>
          </cell>
          <cell r="K24">
            <v>14.14</v>
          </cell>
          <cell r="L24">
            <v>14.21</v>
          </cell>
          <cell r="M24">
            <v>14.21</v>
          </cell>
          <cell r="N24">
            <v>14.19</v>
          </cell>
          <cell r="O24">
            <v>14.15</v>
          </cell>
          <cell r="P24">
            <v>14.08</v>
          </cell>
          <cell r="Q24">
            <v>14.01</v>
          </cell>
          <cell r="R24">
            <v>13.94</v>
          </cell>
          <cell r="S24">
            <v>13.85</v>
          </cell>
          <cell r="T24">
            <v>13.78</v>
          </cell>
          <cell r="U24">
            <v>13.7</v>
          </cell>
          <cell r="V24">
            <v>13.64</v>
          </cell>
          <cell r="W24">
            <v>13.65</v>
          </cell>
          <cell r="X24">
            <v>13.67</v>
          </cell>
          <cell r="Y24">
            <v>13.74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>
        <row r="6">
          <cell r="A6">
            <v>1</v>
          </cell>
          <cell r="AB6">
            <v>12.01</v>
          </cell>
          <cell r="AC6">
            <v>11.81</v>
          </cell>
        </row>
        <row r="7">
          <cell r="A7">
            <v>2</v>
          </cell>
          <cell r="AB7">
            <v>11.91</v>
          </cell>
          <cell r="AC7">
            <v>11.81</v>
          </cell>
        </row>
        <row r="8">
          <cell r="A8">
            <v>3</v>
          </cell>
          <cell r="AB8">
            <v>11.81</v>
          </cell>
          <cell r="AC8">
            <v>11.31</v>
          </cell>
        </row>
        <row r="9">
          <cell r="A9">
            <v>4</v>
          </cell>
          <cell r="AB9">
            <v>11.81</v>
          </cell>
          <cell r="AC9">
            <v>11.81</v>
          </cell>
        </row>
        <row r="10">
          <cell r="A10">
            <v>5</v>
          </cell>
          <cell r="AB10">
            <v>11.81</v>
          </cell>
          <cell r="AC10">
            <v>11.81</v>
          </cell>
        </row>
        <row r="11">
          <cell r="A11">
            <v>6</v>
          </cell>
          <cell r="AB11">
            <v>11.81</v>
          </cell>
          <cell r="AC11">
            <v>11.8</v>
          </cell>
        </row>
        <row r="12">
          <cell r="A12">
            <v>7</v>
          </cell>
          <cell r="AB12">
            <v>11.8</v>
          </cell>
          <cell r="AC12">
            <v>11.8</v>
          </cell>
        </row>
        <row r="13">
          <cell r="A13">
            <v>8</v>
          </cell>
          <cell r="AB13">
            <v>11.8</v>
          </cell>
          <cell r="AC13">
            <v>11.8</v>
          </cell>
        </row>
        <row r="14">
          <cell r="A14">
            <v>9</v>
          </cell>
          <cell r="AB14">
            <v>11.94</v>
          </cell>
          <cell r="AC14">
            <v>11.8</v>
          </cell>
        </row>
        <row r="15">
          <cell r="A15">
            <v>10</v>
          </cell>
          <cell r="AB15">
            <v>11.81</v>
          </cell>
          <cell r="AC15">
            <v>11.81</v>
          </cell>
        </row>
        <row r="16">
          <cell r="A16">
            <v>11</v>
          </cell>
          <cell r="AB16">
            <v>11.81</v>
          </cell>
          <cell r="AC16">
            <v>11.81</v>
          </cell>
        </row>
        <row r="17">
          <cell r="A17">
            <v>12</v>
          </cell>
          <cell r="AB17">
            <v>11.81</v>
          </cell>
          <cell r="AC17">
            <v>11.81</v>
          </cell>
        </row>
        <row r="18">
          <cell r="A18">
            <v>13</v>
          </cell>
          <cell r="AB18">
            <v>14.15</v>
          </cell>
          <cell r="AC18">
            <v>11.81</v>
          </cell>
        </row>
        <row r="19">
          <cell r="A19">
            <v>14</v>
          </cell>
          <cell r="AB19">
            <v>13.33</v>
          </cell>
          <cell r="AC19">
            <v>11.98</v>
          </cell>
        </row>
        <row r="20">
          <cell r="A20">
            <v>15</v>
          </cell>
          <cell r="AB20">
            <v>13.5</v>
          </cell>
          <cell r="AC20">
            <v>12.38</v>
          </cell>
        </row>
        <row r="21">
          <cell r="A21">
            <v>16</v>
          </cell>
          <cell r="AB21">
            <v>13.57</v>
          </cell>
          <cell r="AC21">
            <v>12.79</v>
          </cell>
        </row>
        <row r="22">
          <cell r="A22">
            <v>17</v>
          </cell>
          <cell r="AB22">
            <v>12.79</v>
          </cell>
          <cell r="AC22">
            <v>12.18</v>
          </cell>
        </row>
        <row r="23">
          <cell r="A23">
            <v>18</v>
          </cell>
          <cell r="AB23">
            <v>12.17</v>
          </cell>
          <cell r="AC23">
            <v>11.86</v>
          </cell>
        </row>
        <row r="24">
          <cell r="A24">
            <v>19</v>
          </cell>
          <cell r="AB24">
            <v>12.31</v>
          </cell>
          <cell r="AC24">
            <v>11.81</v>
          </cell>
        </row>
        <row r="25">
          <cell r="A25">
            <v>20</v>
          </cell>
          <cell r="AB25">
            <v>12.73</v>
          </cell>
          <cell r="AC25">
            <v>11.81</v>
          </cell>
        </row>
        <row r="26">
          <cell r="A26">
            <v>21</v>
          </cell>
          <cell r="AB26">
            <v>11.86</v>
          </cell>
          <cell r="AC26">
            <v>11.81</v>
          </cell>
        </row>
        <row r="27">
          <cell r="A27">
            <v>22</v>
          </cell>
          <cell r="AB27">
            <v>11.91</v>
          </cell>
          <cell r="AC27">
            <v>11.8</v>
          </cell>
        </row>
        <row r="28">
          <cell r="A28">
            <v>23</v>
          </cell>
          <cell r="AB28">
            <v>12.3</v>
          </cell>
          <cell r="AC28">
            <v>11.81</v>
          </cell>
        </row>
        <row r="29">
          <cell r="A29">
            <v>24</v>
          </cell>
          <cell r="AB29">
            <v>13.61</v>
          </cell>
          <cell r="AC29">
            <v>11.9</v>
          </cell>
        </row>
        <row r="30">
          <cell r="A30">
            <v>25</v>
          </cell>
          <cell r="AB30">
            <v>13.32</v>
          </cell>
          <cell r="AC30">
            <v>12.06</v>
          </cell>
        </row>
        <row r="31">
          <cell r="A31">
            <v>26</v>
          </cell>
          <cell r="AB31">
            <v>15.36</v>
          </cell>
          <cell r="AC31">
            <v>13.26</v>
          </cell>
        </row>
        <row r="32">
          <cell r="A32">
            <v>27</v>
          </cell>
          <cell r="AB32">
            <v>15.92</v>
          </cell>
          <cell r="AC32">
            <v>14.43</v>
          </cell>
        </row>
        <row r="33">
          <cell r="A33">
            <v>28</v>
          </cell>
          <cell r="AB33">
            <v>14.94</v>
          </cell>
          <cell r="AC33">
            <v>14.34</v>
          </cell>
        </row>
        <row r="34">
          <cell r="A34">
            <v>29</v>
          </cell>
          <cell r="AB34">
            <v>16.66</v>
          </cell>
          <cell r="AC34">
            <v>13.96</v>
          </cell>
        </row>
        <row r="35">
          <cell r="A35">
            <v>30</v>
          </cell>
          <cell r="AB35">
            <v>15.46</v>
          </cell>
          <cell r="AC35">
            <v>12.75</v>
          </cell>
        </row>
        <row r="36">
          <cell r="A36">
            <v>31</v>
          </cell>
          <cell r="AB36">
            <v>14.21</v>
          </cell>
          <cell r="AC36">
            <v>13.64</v>
          </cell>
        </row>
        <row r="37">
          <cell r="A37" t="str">
            <v>AVE.</v>
          </cell>
        </row>
        <row r="38">
          <cell r="A38" t="str">
            <v>*PTA</v>
          </cell>
        </row>
      </sheetData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F85C0-FEE8-441A-A91B-553589281865}">
  <dimension ref="A1:AP39"/>
  <sheetViews>
    <sheetView tabSelected="1" view="pageBreakPreview" zoomScaleNormal="85" zoomScaleSheetLayoutView="100" workbookViewId="0">
      <pane xSplit="1" ySplit="5" topLeftCell="B6" activePane="bottomRight" state="frozen"/>
      <selection activeCell="AB38" sqref="AB38:AC38"/>
      <selection pane="topRight" activeCell="AB38" sqref="AB38:AC38"/>
      <selection pane="bottomLeft" activeCell="AB38" sqref="AB38:AC38"/>
      <selection pane="bottomRight" activeCell="B6" sqref="B6"/>
    </sheetView>
  </sheetViews>
  <sheetFormatPr defaultRowHeight="12.75" x14ac:dyDescent="0.2"/>
  <cols>
    <col min="1" max="1" width="6.28515625" style="5" customWidth="1"/>
    <col min="2" max="25" width="5.85546875" style="5" customWidth="1"/>
    <col min="26" max="26" width="7.28515625" style="5" customWidth="1"/>
    <col min="27" max="27" width="6.5703125" style="5" customWidth="1"/>
    <col min="28" max="254" width="9.140625" style="5"/>
    <col min="255" max="255" width="6.28515625" style="5" customWidth="1"/>
    <col min="256" max="279" width="5.85546875" style="5" customWidth="1"/>
    <col min="280" max="280" width="7.28515625" style="5" customWidth="1"/>
    <col min="281" max="510" width="9.140625" style="5"/>
    <col min="511" max="511" width="6.28515625" style="5" customWidth="1"/>
    <col min="512" max="535" width="5.85546875" style="5" customWidth="1"/>
    <col min="536" max="536" width="7.28515625" style="5" customWidth="1"/>
    <col min="537" max="766" width="9.140625" style="5"/>
    <col min="767" max="767" width="6.28515625" style="5" customWidth="1"/>
    <col min="768" max="791" width="5.85546875" style="5" customWidth="1"/>
    <col min="792" max="792" width="7.28515625" style="5" customWidth="1"/>
    <col min="793" max="1022" width="9.140625" style="5"/>
    <col min="1023" max="1023" width="6.28515625" style="5" customWidth="1"/>
    <col min="1024" max="1047" width="5.85546875" style="5" customWidth="1"/>
    <col min="1048" max="1048" width="7.28515625" style="5" customWidth="1"/>
    <col min="1049" max="1278" width="9.140625" style="5"/>
    <col min="1279" max="1279" width="6.28515625" style="5" customWidth="1"/>
    <col min="1280" max="1303" width="5.85546875" style="5" customWidth="1"/>
    <col min="1304" max="1304" width="7.28515625" style="5" customWidth="1"/>
    <col min="1305" max="1534" width="9.140625" style="5"/>
    <col min="1535" max="1535" width="6.28515625" style="5" customWidth="1"/>
    <col min="1536" max="1559" width="5.85546875" style="5" customWidth="1"/>
    <col min="1560" max="1560" width="7.28515625" style="5" customWidth="1"/>
    <col min="1561" max="1790" width="9.140625" style="5"/>
    <col min="1791" max="1791" width="6.28515625" style="5" customWidth="1"/>
    <col min="1792" max="1815" width="5.85546875" style="5" customWidth="1"/>
    <col min="1816" max="1816" width="7.28515625" style="5" customWidth="1"/>
    <col min="1817" max="2046" width="9.140625" style="5"/>
    <col min="2047" max="2047" width="6.28515625" style="5" customWidth="1"/>
    <col min="2048" max="2071" width="5.85546875" style="5" customWidth="1"/>
    <col min="2072" max="2072" width="7.28515625" style="5" customWidth="1"/>
    <col min="2073" max="2302" width="9.140625" style="5"/>
    <col min="2303" max="2303" width="6.28515625" style="5" customWidth="1"/>
    <col min="2304" max="2327" width="5.85546875" style="5" customWidth="1"/>
    <col min="2328" max="2328" width="7.28515625" style="5" customWidth="1"/>
    <col min="2329" max="2558" width="9.140625" style="5"/>
    <col min="2559" max="2559" width="6.28515625" style="5" customWidth="1"/>
    <col min="2560" max="2583" width="5.85546875" style="5" customWidth="1"/>
    <col min="2584" max="2584" width="7.28515625" style="5" customWidth="1"/>
    <col min="2585" max="2814" width="9.140625" style="5"/>
    <col min="2815" max="2815" width="6.28515625" style="5" customWidth="1"/>
    <col min="2816" max="2839" width="5.85546875" style="5" customWidth="1"/>
    <col min="2840" max="2840" width="7.28515625" style="5" customWidth="1"/>
    <col min="2841" max="3070" width="9.140625" style="5"/>
    <col min="3071" max="3071" width="6.28515625" style="5" customWidth="1"/>
    <col min="3072" max="3095" width="5.85546875" style="5" customWidth="1"/>
    <col min="3096" max="3096" width="7.28515625" style="5" customWidth="1"/>
    <col min="3097" max="3326" width="9.140625" style="5"/>
    <col min="3327" max="3327" width="6.28515625" style="5" customWidth="1"/>
    <col min="3328" max="3351" width="5.85546875" style="5" customWidth="1"/>
    <col min="3352" max="3352" width="7.28515625" style="5" customWidth="1"/>
    <col min="3353" max="3582" width="9.140625" style="5"/>
    <col min="3583" max="3583" width="6.28515625" style="5" customWidth="1"/>
    <col min="3584" max="3607" width="5.85546875" style="5" customWidth="1"/>
    <col min="3608" max="3608" width="7.28515625" style="5" customWidth="1"/>
    <col min="3609" max="3838" width="9.140625" style="5"/>
    <col min="3839" max="3839" width="6.28515625" style="5" customWidth="1"/>
    <col min="3840" max="3863" width="5.85546875" style="5" customWidth="1"/>
    <col min="3864" max="3864" width="7.28515625" style="5" customWidth="1"/>
    <col min="3865" max="4094" width="9.140625" style="5"/>
    <col min="4095" max="4095" width="6.28515625" style="5" customWidth="1"/>
    <col min="4096" max="4119" width="5.85546875" style="5" customWidth="1"/>
    <col min="4120" max="4120" width="7.28515625" style="5" customWidth="1"/>
    <col min="4121" max="4350" width="9.140625" style="5"/>
    <col min="4351" max="4351" width="6.28515625" style="5" customWidth="1"/>
    <col min="4352" max="4375" width="5.85546875" style="5" customWidth="1"/>
    <col min="4376" max="4376" width="7.28515625" style="5" customWidth="1"/>
    <col min="4377" max="4606" width="9.140625" style="5"/>
    <col min="4607" max="4607" width="6.28515625" style="5" customWidth="1"/>
    <col min="4608" max="4631" width="5.85546875" style="5" customWidth="1"/>
    <col min="4632" max="4632" width="7.28515625" style="5" customWidth="1"/>
    <col min="4633" max="4862" width="9.140625" style="5"/>
    <col min="4863" max="4863" width="6.28515625" style="5" customWidth="1"/>
    <col min="4864" max="4887" width="5.85546875" style="5" customWidth="1"/>
    <col min="4888" max="4888" width="7.28515625" style="5" customWidth="1"/>
    <col min="4889" max="5118" width="9.140625" style="5"/>
    <col min="5119" max="5119" width="6.28515625" style="5" customWidth="1"/>
    <col min="5120" max="5143" width="5.85546875" style="5" customWidth="1"/>
    <col min="5144" max="5144" width="7.28515625" style="5" customWidth="1"/>
    <col min="5145" max="5374" width="9.140625" style="5"/>
    <col min="5375" max="5375" width="6.28515625" style="5" customWidth="1"/>
    <col min="5376" max="5399" width="5.85546875" style="5" customWidth="1"/>
    <col min="5400" max="5400" width="7.28515625" style="5" customWidth="1"/>
    <col min="5401" max="5630" width="9.140625" style="5"/>
    <col min="5631" max="5631" width="6.28515625" style="5" customWidth="1"/>
    <col min="5632" max="5655" width="5.85546875" style="5" customWidth="1"/>
    <col min="5656" max="5656" width="7.28515625" style="5" customWidth="1"/>
    <col min="5657" max="5886" width="9.140625" style="5"/>
    <col min="5887" max="5887" width="6.28515625" style="5" customWidth="1"/>
    <col min="5888" max="5911" width="5.85546875" style="5" customWidth="1"/>
    <col min="5912" max="5912" width="7.28515625" style="5" customWidth="1"/>
    <col min="5913" max="6142" width="9.140625" style="5"/>
    <col min="6143" max="6143" width="6.28515625" style="5" customWidth="1"/>
    <col min="6144" max="6167" width="5.85546875" style="5" customWidth="1"/>
    <col min="6168" max="6168" width="7.28515625" style="5" customWidth="1"/>
    <col min="6169" max="6398" width="9.140625" style="5"/>
    <col min="6399" max="6399" width="6.28515625" style="5" customWidth="1"/>
    <col min="6400" max="6423" width="5.85546875" style="5" customWidth="1"/>
    <col min="6424" max="6424" width="7.28515625" style="5" customWidth="1"/>
    <col min="6425" max="6654" width="9.140625" style="5"/>
    <col min="6655" max="6655" width="6.28515625" style="5" customWidth="1"/>
    <col min="6656" max="6679" width="5.85546875" style="5" customWidth="1"/>
    <col min="6680" max="6680" width="7.28515625" style="5" customWidth="1"/>
    <col min="6681" max="6910" width="9.140625" style="5"/>
    <col min="6911" max="6911" width="6.28515625" style="5" customWidth="1"/>
    <col min="6912" max="6935" width="5.85546875" style="5" customWidth="1"/>
    <col min="6936" max="6936" width="7.28515625" style="5" customWidth="1"/>
    <col min="6937" max="7166" width="9.140625" style="5"/>
    <col min="7167" max="7167" width="6.28515625" style="5" customWidth="1"/>
    <col min="7168" max="7191" width="5.85546875" style="5" customWidth="1"/>
    <col min="7192" max="7192" width="7.28515625" style="5" customWidth="1"/>
    <col min="7193" max="7422" width="9.140625" style="5"/>
    <col min="7423" max="7423" width="6.28515625" style="5" customWidth="1"/>
    <col min="7424" max="7447" width="5.85546875" style="5" customWidth="1"/>
    <col min="7448" max="7448" width="7.28515625" style="5" customWidth="1"/>
    <col min="7449" max="7678" width="9.140625" style="5"/>
    <col min="7679" max="7679" width="6.28515625" style="5" customWidth="1"/>
    <col min="7680" max="7703" width="5.85546875" style="5" customWidth="1"/>
    <col min="7704" max="7704" width="7.28515625" style="5" customWidth="1"/>
    <col min="7705" max="7934" width="9.140625" style="5"/>
    <col min="7935" max="7935" width="6.28515625" style="5" customWidth="1"/>
    <col min="7936" max="7959" width="5.85546875" style="5" customWidth="1"/>
    <col min="7960" max="7960" width="7.28515625" style="5" customWidth="1"/>
    <col min="7961" max="8190" width="9.140625" style="5"/>
    <col min="8191" max="8191" width="6.28515625" style="5" customWidth="1"/>
    <col min="8192" max="8215" width="5.85546875" style="5" customWidth="1"/>
    <col min="8216" max="8216" width="7.28515625" style="5" customWidth="1"/>
    <col min="8217" max="8446" width="9.140625" style="5"/>
    <col min="8447" max="8447" width="6.28515625" style="5" customWidth="1"/>
    <col min="8448" max="8471" width="5.85546875" style="5" customWidth="1"/>
    <col min="8472" max="8472" width="7.28515625" style="5" customWidth="1"/>
    <col min="8473" max="8702" width="9.140625" style="5"/>
    <col min="8703" max="8703" width="6.28515625" style="5" customWidth="1"/>
    <col min="8704" max="8727" width="5.85546875" style="5" customWidth="1"/>
    <col min="8728" max="8728" width="7.28515625" style="5" customWidth="1"/>
    <col min="8729" max="8958" width="9.140625" style="5"/>
    <col min="8959" max="8959" width="6.28515625" style="5" customWidth="1"/>
    <col min="8960" max="8983" width="5.85546875" style="5" customWidth="1"/>
    <col min="8984" max="8984" width="7.28515625" style="5" customWidth="1"/>
    <col min="8985" max="9214" width="9.140625" style="5"/>
    <col min="9215" max="9215" width="6.28515625" style="5" customWidth="1"/>
    <col min="9216" max="9239" width="5.85546875" style="5" customWidth="1"/>
    <col min="9240" max="9240" width="7.28515625" style="5" customWidth="1"/>
    <col min="9241" max="9470" width="9.140625" style="5"/>
    <col min="9471" max="9471" width="6.28515625" style="5" customWidth="1"/>
    <col min="9472" max="9495" width="5.85546875" style="5" customWidth="1"/>
    <col min="9496" max="9496" width="7.28515625" style="5" customWidth="1"/>
    <col min="9497" max="9726" width="9.140625" style="5"/>
    <col min="9727" max="9727" width="6.28515625" style="5" customWidth="1"/>
    <col min="9728" max="9751" width="5.85546875" style="5" customWidth="1"/>
    <col min="9752" max="9752" width="7.28515625" style="5" customWidth="1"/>
    <col min="9753" max="9982" width="9.140625" style="5"/>
    <col min="9983" max="9983" width="6.28515625" style="5" customWidth="1"/>
    <col min="9984" max="10007" width="5.85546875" style="5" customWidth="1"/>
    <col min="10008" max="10008" width="7.28515625" style="5" customWidth="1"/>
    <col min="10009" max="10238" width="9.140625" style="5"/>
    <col min="10239" max="10239" width="6.28515625" style="5" customWidth="1"/>
    <col min="10240" max="10263" width="5.85546875" style="5" customWidth="1"/>
    <col min="10264" max="10264" width="7.28515625" style="5" customWidth="1"/>
    <col min="10265" max="10494" width="9.140625" style="5"/>
    <col min="10495" max="10495" width="6.28515625" style="5" customWidth="1"/>
    <col min="10496" max="10519" width="5.85546875" style="5" customWidth="1"/>
    <col min="10520" max="10520" width="7.28515625" style="5" customWidth="1"/>
    <col min="10521" max="10750" width="9.140625" style="5"/>
    <col min="10751" max="10751" width="6.28515625" style="5" customWidth="1"/>
    <col min="10752" max="10775" width="5.85546875" style="5" customWidth="1"/>
    <col min="10776" max="10776" width="7.28515625" style="5" customWidth="1"/>
    <col min="10777" max="11006" width="9.140625" style="5"/>
    <col min="11007" max="11007" width="6.28515625" style="5" customWidth="1"/>
    <col min="11008" max="11031" width="5.85546875" style="5" customWidth="1"/>
    <col min="11032" max="11032" width="7.28515625" style="5" customWidth="1"/>
    <col min="11033" max="11262" width="9.140625" style="5"/>
    <col min="11263" max="11263" width="6.28515625" style="5" customWidth="1"/>
    <col min="11264" max="11287" width="5.85546875" style="5" customWidth="1"/>
    <col min="11288" max="11288" width="7.28515625" style="5" customWidth="1"/>
    <col min="11289" max="11518" width="9.140625" style="5"/>
    <col min="11519" max="11519" width="6.28515625" style="5" customWidth="1"/>
    <col min="11520" max="11543" width="5.85546875" style="5" customWidth="1"/>
    <col min="11544" max="11544" width="7.28515625" style="5" customWidth="1"/>
    <col min="11545" max="11774" width="9.140625" style="5"/>
    <col min="11775" max="11775" width="6.28515625" style="5" customWidth="1"/>
    <col min="11776" max="11799" width="5.85546875" style="5" customWidth="1"/>
    <col min="11800" max="11800" width="7.28515625" style="5" customWidth="1"/>
    <col min="11801" max="12030" width="9.140625" style="5"/>
    <col min="12031" max="12031" width="6.28515625" style="5" customWidth="1"/>
    <col min="12032" max="12055" width="5.85546875" style="5" customWidth="1"/>
    <col min="12056" max="12056" width="7.28515625" style="5" customWidth="1"/>
    <col min="12057" max="12286" width="9.140625" style="5"/>
    <col min="12287" max="12287" width="6.28515625" style="5" customWidth="1"/>
    <col min="12288" max="12311" width="5.85546875" style="5" customWidth="1"/>
    <col min="12312" max="12312" width="7.28515625" style="5" customWidth="1"/>
    <col min="12313" max="12542" width="9.140625" style="5"/>
    <col min="12543" max="12543" width="6.28515625" style="5" customWidth="1"/>
    <col min="12544" max="12567" width="5.85546875" style="5" customWidth="1"/>
    <col min="12568" max="12568" width="7.28515625" style="5" customWidth="1"/>
    <col min="12569" max="12798" width="9.140625" style="5"/>
    <col min="12799" max="12799" width="6.28515625" style="5" customWidth="1"/>
    <col min="12800" max="12823" width="5.85546875" style="5" customWidth="1"/>
    <col min="12824" max="12824" width="7.28515625" style="5" customWidth="1"/>
    <col min="12825" max="13054" width="9.140625" style="5"/>
    <col min="13055" max="13055" width="6.28515625" style="5" customWidth="1"/>
    <col min="13056" max="13079" width="5.85546875" style="5" customWidth="1"/>
    <col min="13080" max="13080" width="7.28515625" style="5" customWidth="1"/>
    <col min="13081" max="13310" width="9.140625" style="5"/>
    <col min="13311" max="13311" width="6.28515625" style="5" customWidth="1"/>
    <col min="13312" max="13335" width="5.85546875" style="5" customWidth="1"/>
    <col min="13336" max="13336" width="7.28515625" style="5" customWidth="1"/>
    <col min="13337" max="13566" width="9.140625" style="5"/>
    <col min="13567" max="13567" width="6.28515625" style="5" customWidth="1"/>
    <col min="13568" max="13591" width="5.85546875" style="5" customWidth="1"/>
    <col min="13592" max="13592" width="7.28515625" style="5" customWidth="1"/>
    <col min="13593" max="13822" width="9.140625" style="5"/>
    <col min="13823" max="13823" width="6.28515625" style="5" customWidth="1"/>
    <col min="13824" max="13847" width="5.85546875" style="5" customWidth="1"/>
    <col min="13848" max="13848" width="7.28515625" style="5" customWidth="1"/>
    <col min="13849" max="14078" width="9.140625" style="5"/>
    <col min="14079" max="14079" width="6.28515625" style="5" customWidth="1"/>
    <col min="14080" max="14103" width="5.85546875" style="5" customWidth="1"/>
    <col min="14104" max="14104" width="7.28515625" style="5" customWidth="1"/>
    <col min="14105" max="14334" width="9.140625" style="5"/>
    <col min="14335" max="14335" width="6.28515625" style="5" customWidth="1"/>
    <col min="14336" max="14359" width="5.85546875" style="5" customWidth="1"/>
    <col min="14360" max="14360" width="7.28515625" style="5" customWidth="1"/>
    <col min="14361" max="14590" width="9.140625" style="5"/>
    <col min="14591" max="14591" width="6.28515625" style="5" customWidth="1"/>
    <col min="14592" max="14615" width="5.85546875" style="5" customWidth="1"/>
    <col min="14616" max="14616" width="7.28515625" style="5" customWidth="1"/>
    <col min="14617" max="14846" width="9.140625" style="5"/>
    <col min="14847" max="14847" width="6.28515625" style="5" customWidth="1"/>
    <col min="14848" max="14871" width="5.85546875" style="5" customWidth="1"/>
    <col min="14872" max="14872" width="7.28515625" style="5" customWidth="1"/>
    <col min="14873" max="15102" width="9.140625" style="5"/>
    <col min="15103" max="15103" width="6.28515625" style="5" customWidth="1"/>
    <col min="15104" max="15127" width="5.85546875" style="5" customWidth="1"/>
    <col min="15128" max="15128" width="7.28515625" style="5" customWidth="1"/>
    <col min="15129" max="15358" width="9.140625" style="5"/>
    <col min="15359" max="15359" width="6.28515625" style="5" customWidth="1"/>
    <col min="15360" max="15383" width="5.85546875" style="5" customWidth="1"/>
    <col min="15384" max="15384" width="7.28515625" style="5" customWidth="1"/>
    <col min="15385" max="15614" width="9.140625" style="5"/>
    <col min="15615" max="15615" width="6.28515625" style="5" customWidth="1"/>
    <col min="15616" max="15639" width="5.85546875" style="5" customWidth="1"/>
    <col min="15640" max="15640" width="7.28515625" style="5" customWidth="1"/>
    <col min="15641" max="15870" width="9.140625" style="5"/>
    <col min="15871" max="15871" width="6.28515625" style="5" customWidth="1"/>
    <col min="15872" max="15895" width="5.85546875" style="5" customWidth="1"/>
    <col min="15896" max="15896" width="7.28515625" style="5" customWidth="1"/>
    <col min="15897" max="16126" width="9.140625" style="5"/>
    <col min="16127" max="16127" width="6.28515625" style="5" customWidth="1"/>
    <col min="16128" max="16151" width="5.85546875" style="5" customWidth="1"/>
    <col min="16152" max="16152" width="7.28515625" style="5" customWidth="1"/>
    <col min="16153" max="16384" width="9.140625" style="5"/>
  </cols>
  <sheetData>
    <row r="1" spans="1:42" ht="23.2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/>
      <c r="AB1" s="3"/>
      <c r="AC1" s="4"/>
      <c r="AE1" s="6" t="s">
        <v>1</v>
      </c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2" ht="23.25" x14ac:dyDescent="0.2">
      <c r="AA2" s="7" t="s">
        <v>2</v>
      </c>
      <c r="AB2" s="8"/>
      <c r="AC2" s="9"/>
      <c r="AE2" s="6" t="s">
        <v>3</v>
      </c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 spans="1:42" ht="23.25" x14ac:dyDescent="0.2">
      <c r="A3" s="10" t="s">
        <v>4</v>
      </c>
      <c r="D3" s="11" t="s">
        <v>5</v>
      </c>
      <c r="Q3" s="5" t="s">
        <v>6</v>
      </c>
      <c r="S3" s="11" t="s">
        <v>2</v>
      </c>
      <c r="W3" s="5" t="s">
        <v>7</v>
      </c>
      <c r="Y3" s="12">
        <v>2023</v>
      </c>
      <c r="Z3" s="13"/>
      <c r="AA3" s="14"/>
      <c r="AB3" s="15"/>
      <c r="AC3" s="16"/>
      <c r="AE3" s="6" t="s">
        <v>8</v>
      </c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</row>
    <row r="4" spans="1:42" ht="5.25" customHeight="1" x14ac:dyDescent="0.2">
      <c r="AA4" s="17"/>
      <c r="AB4" s="17"/>
      <c r="AC4" s="17"/>
    </row>
    <row r="5" spans="1:42" x14ac:dyDescent="0.2">
      <c r="A5" s="18"/>
      <c r="B5" s="19">
        <v>0.375</v>
      </c>
      <c r="C5" s="19">
        <v>0.41666666666666669</v>
      </c>
      <c r="D5" s="19">
        <v>0.45833333333333298</v>
      </c>
      <c r="E5" s="19">
        <v>0.5</v>
      </c>
      <c r="F5" s="19">
        <v>0.54166666666666696</v>
      </c>
      <c r="G5" s="19">
        <v>0.58333333333333304</v>
      </c>
      <c r="H5" s="19">
        <v>0.625</v>
      </c>
      <c r="I5" s="19">
        <v>0.66666666666666696</v>
      </c>
      <c r="J5" s="19">
        <v>0.70833333333333304</v>
      </c>
      <c r="K5" s="19">
        <v>0.75</v>
      </c>
      <c r="L5" s="19">
        <v>0.79166666666666696</v>
      </c>
      <c r="M5" s="19">
        <v>0.83333333333333337</v>
      </c>
      <c r="N5" s="19">
        <v>0.875</v>
      </c>
      <c r="O5" s="19">
        <v>0.91666666666666663</v>
      </c>
      <c r="P5" s="19">
        <v>0.95833333333333337</v>
      </c>
      <c r="Q5" s="19">
        <v>0</v>
      </c>
      <c r="R5" s="19">
        <v>4.1666666666666699E-2</v>
      </c>
      <c r="S5" s="19">
        <v>8.3333333333333301E-2</v>
      </c>
      <c r="T5" s="19">
        <v>0.125</v>
      </c>
      <c r="U5" s="19">
        <v>0.16666666666666699</v>
      </c>
      <c r="V5" s="19">
        <v>0.20833333333333301</v>
      </c>
      <c r="W5" s="19">
        <v>0.25</v>
      </c>
      <c r="X5" s="19">
        <v>0.29166666666666702</v>
      </c>
      <c r="Y5" s="19">
        <v>0.33333333333333298</v>
      </c>
      <c r="Z5" s="20" t="s">
        <v>9</v>
      </c>
      <c r="AA5" s="21" t="s">
        <v>10</v>
      </c>
      <c r="AB5" s="22" t="s">
        <v>11</v>
      </c>
      <c r="AC5" s="22" t="s">
        <v>12</v>
      </c>
    </row>
    <row r="6" spans="1:42" ht="14.25" customHeight="1" x14ac:dyDescent="0.25">
      <c r="A6" s="23">
        <v>1</v>
      </c>
      <c r="B6" s="24">
        <f>[1]Jul1!B24</f>
        <v>11.81</v>
      </c>
      <c r="C6" s="24">
        <f>[1]Jul1!C24</f>
        <v>11.81</v>
      </c>
      <c r="D6" s="24">
        <f>[1]Jul1!D24</f>
        <v>11.81</v>
      </c>
      <c r="E6" s="24">
        <f>[1]Jul1!E24</f>
        <v>11.81</v>
      </c>
      <c r="F6" s="24">
        <f>[1]Jul1!F24</f>
        <v>11.81</v>
      </c>
      <c r="G6" s="24">
        <f>[1]Jul1!G24</f>
        <v>11.81</v>
      </c>
      <c r="H6" s="24">
        <f>[1]Jul1!H24</f>
        <v>11.81</v>
      </c>
      <c r="I6" s="24">
        <f>[1]Jul1!I24</f>
        <v>11.81</v>
      </c>
      <c r="J6" s="24">
        <f>[1]Jul1!J24</f>
        <v>11.81</v>
      </c>
      <c r="K6" s="24">
        <f>[1]Jul1!K24</f>
        <v>11.81</v>
      </c>
      <c r="L6" s="24">
        <f>[1]Jul1!L24</f>
        <v>11.81</v>
      </c>
      <c r="M6" s="24">
        <f>[1]Jul1!M24</f>
        <v>11.81</v>
      </c>
      <c r="N6" s="24">
        <f>[1]Jul1!N24</f>
        <v>11.81</v>
      </c>
      <c r="O6" s="24">
        <f>[1]Jul1!O24</f>
        <v>11.81</v>
      </c>
      <c r="P6" s="24">
        <f>[1]Jul1!P24</f>
        <v>11.81</v>
      </c>
      <c r="Q6" s="24">
        <f>[1]Jul1!Q24</f>
        <v>11.81</v>
      </c>
      <c r="R6" s="24">
        <f>[1]Jul1!R24</f>
        <v>11.83</v>
      </c>
      <c r="S6" s="24">
        <f>[1]Jul1!S24</f>
        <v>11.94</v>
      </c>
      <c r="T6" s="24">
        <f>[1]Jul1!T24</f>
        <v>11.99</v>
      </c>
      <c r="U6" s="24">
        <f>[1]Jul1!U24</f>
        <v>12.01</v>
      </c>
      <c r="V6" s="24">
        <f>[1]Jul1!V24</f>
        <v>12</v>
      </c>
      <c r="W6" s="24">
        <f>[1]Jul1!W24</f>
        <v>11.98</v>
      </c>
      <c r="X6" s="24">
        <f>[1]Jul1!X24</f>
        <v>11.96</v>
      </c>
      <c r="Y6" s="24">
        <f>[1]Jul1!Y24</f>
        <v>11.94</v>
      </c>
      <c r="Z6" s="25">
        <f t="shared" ref="Z6:Z36" si="0">AVERAGE(B6:Y6)</f>
        <v>11.858750000000001</v>
      </c>
      <c r="AA6" s="26">
        <v>1</v>
      </c>
      <c r="AB6" s="27">
        <f>MAX(B6:Y6)</f>
        <v>12.01</v>
      </c>
      <c r="AC6" s="27">
        <f>MIN(B6:Y6)</f>
        <v>11.81</v>
      </c>
    </row>
    <row r="7" spans="1:42" ht="14.25" customHeight="1" x14ac:dyDescent="0.25">
      <c r="A7" s="23">
        <v>2</v>
      </c>
      <c r="B7" s="24">
        <f>[1]Jul2!B24</f>
        <v>11.91</v>
      </c>
      <c r="C7" s="24">
        <f>[1]Jul2!C24</f>
        <v>11.88</v>
      </c>
      <c r="D7" s="24">
        <f>[1]Jul2!D24</f>
        <v>11.86</v>
      </c>
      <c r="E7" s="24">
        <f>[1]Jul2!E24</f>
        <v>11.82</v>
      </c>
      <c r="F7" s="24">
        <f>[1]Jul2!F24</f>
        <v>11.81</v>
      </c>
      <c r="G7" s="24">
        <f>[1]Jul2!G24</f>
        <v>11.82</v>
      </c>
      <c r="H7" s="24">
        <f>[1]Jul2!H24</f>
        <v>11.85</v>
      </c>
      <c r="I7" s="24">
        <f>[1]Jul2!I24</f>
        <v>11.81</v>
      </c>
      <c r="J7" s="24">
        <f>[1]Jul2!J24</f>
        <v>11.81</v>
      </c>
      <c r="K7" s="24">
        <f>[1]Jul2!K24</f>
        <v>11.81</v>
      </c>
      <c r="L7" s="24">
        <f>[1]Jul2!L24</f>
        <v>11.81</v>
      </c>
      <c r="M7" s="24">
        <f>[1]Jul2!M24</f>
        <v>11.81</v>
      </c>
      <c r="N7" s="24">
        <f>[1]Jul2!N24</f>
        <v>11.81</v>
      </c>
      <c r="O7" s="24">
        <f>[1]Jul2!O24</f>
        <v>11.81</v>
      </c>
      <c r="P7" s="24">
        <f>[1]Jul2!P24</f>
        <v>11.81</v>
      </c>
      <c r="Q7" s="24">
        <f>[1]Jul2!Q24</f>
        <v>11.81</v>
      </c>
      <c r="R7" s="24">
        <f>[1]Jul2!R24</f>
        <v>11.81</v>
      </c>
      <c r="S7" s="24">
        <f>[1]Jul2!S24</f>
        <v>11.81</v>
      </c>
      <c r="T7" s="24">
        <f>[1]Jul2!T24</f>
        <v>11.81</v>
      </c>
      <c r="U7" s="24">
        <f>[1]Jul2!U24</f>
        <v>11.81</v>
      </c>
      <c r="V7" s="24">
        <f>[1]Jul2!V24</f>
        <v>11.81</v>
      </c>
      <c r="W7" s="24">
        <f>[1]Jul2!W24</f>
        <v>11.81</v>
      </c>
      <c r="X7" s="24">
        <f>[1]Jul2!X24</f>
        <v>11.81</v>
      </c>
      <c r="Y7" s="24">
        <f>[1]Jul2!Y24</f>
        <v>11.81</v>
      </c>
      <c r="Z7" s="25">
        <f t="shared" si="0"/>
        <v>11.821666666666667</v>
      </c>
      <c r="AA7" s="26">
        <v>2</v>
      </c>
      <c r="AB7" s="27">
        <f t="shared" ref="AB7:AB36" si="1">MAX(B7:Y7)</f>
        <v>11.91</v>
      </c>
      <c r="AC7" s="27">
        <f t="shared" ref="AC7:AC36" si="2">MIN(B7:Y7)</f>
        <v>11.81</v>
      </c>
    </row>
    <row r="8" spans="1:42" ht="14.25" customHeight="1" x14ac:dyDescent="0.25">
      <c r="A8" s="23">
        <v>3</v>
      </c>
      <c r="B8" s="24">
        <f>[1]Jul3!B24</f>
        <v>11.81</v>
      </c>
      <c r="C8" s="24">
        <f>[1]Jul3!C24</f>
        <v>11.81</v>
      </c>
      <c r="D8" s="24">
        <f>[1]Jul3!D24</f>
        <v>11.81</v>
      </c>
      <c r="E8" s="24">
        <f>[1]Jul3!E24</f>
        <v>11.81</v>
      </c>
      <c r="F8" s="24">
        <f>[1]Jul3!F24</f>
        <v>11.81</v>
      </c>
      <c r="G8" s="24">
        <f>[1]Jul3!G24</f>
        <v>11.81</v>
      </c>
      <c r="H8" s="24">
        <f>[1]Jul3!H24</f>
        <v>11.81</v>
      </c>
      <c r="I8" s="24">
        <f>[1]Jul3!I24</f>
        <v>11.81</v>
      </c>
      <c r="J8" s="24">
        <f>[1]Jul3!J24</f>
        <v>11.81</v>
      </c>
      <c r="K8" s="24">
        <f>[1]Jul3!K24</f>
        <v>11.81</v>
      </c>
      <c r="L8" s="24">
        <f>[1]Jul3!L24</f>
        <v>11.81</v>
      </c>
      <c r="M8" s="24">
        <f>[1]Jul3!M24</f>
        <v>11.81</v>
      </c>
      <c r="N8" s="24">
        <f>[1]Jul3!N24</f>
        <v>11.81</v>
      </c>
      <c r="O8" s="24">
        <f>[1]Jul3!O24</f>
        <v>11.81</v>
      </c>
      <c r="P8" s="24">
        <f>[1]Jul3!P24</f>
        <v>11.81</v>
      </c>
      <c r="Q8" s="24">
        <f>[1]Jul3!Q24</f>
        <v>11.81</v>
      </c>
      <c r="R8" s="24">
        <f>[1]Jul3!R24</f>
        <v>11.81</v>
      </c>
      <c r="S8" s="24">
        <f>[1]Jul3!S24</f>
        <v>11.81</v>
      </c>
      <c r="T8" s="24">
        <f>[1]Jul3!T24</f>
        <v>11.81</v>
      </c>
      <c r="U8" s="24">
        <f>[1]Jul3!U24</f>
        <v>11.81</v>
      </c>
      <c r="V8" s="24">
        <f>[1]Jul3!V24</f>
        <v>11.31</v>
      </c>
      <c r="W8" s="24">
        <f>[1]Jul3!W24</f>
        <v>11.81</v>
      </c>
      <c r="X8" s="24">
        <f>[1]Jul3!X24</f>
        <v>11.81</v>
      </c>
      <c r="Y8" s="24">
        <f>[1]Jul3!Y24</f>
        <v>11.81</v>
      </c>
      <c r="Z8" s="28">
        <f t="shared" si="0"/>
        <v>11.789166666666667</v>
      </c>
      <c r="AA8" s="26">
        <v>3</v>
      </c>
      <c r="AB8" s="29">
        <f t="shared" si="1"/>
        <v>11.81</v>
      </c>
      <c r="AC8" s="29">
        <f t="shared" si="2"/>
        <v>11.31</v>
      </c>
    </row>
    <row r="9" spans="1:42" ht="14.25" customHeight="1" x14ac:dyDescent="0.25">
      <c r="A9" s="23">
        <v>4</v>
      </c>
      <c r="B9" s="24">
        <f>[1]Jul4!B24</f>
        <v>11.81</v>
      </c>
      <c r="C9" s="24">
        <f>[1]Jul4!C24</f>
        <v>11.81</v>
      </c>
      <c r="D9" s="24">
        <f>[1]Jul4!D24</f>
        <v>11.81</v>
      </c>
      <c r="E9" s="24">
        <f>[1]Jul4!E24</f>
        <v>11.81</v>
      </c>
      <c r="F9" s="24">
        <f>[1]Jul4!F24</f>
        <v>11.81</v>
      </c>
      <c r="G9" s="24">
        <f>[1]Jul4!G24</f>
        <v>11.81</v>
      </c>
      <c r="H9" s="24">
        <f>[1]Jul4!H24</f>
        <v>11.81</v>
      </c>
      <c r="I9" s="24">
        <f>[1]Jul4!I24</f>
        <v>11.81</v>
      </c>
      <c r="J9" s="24">
        <f>[1]Jul4!J24</f>
        <v>11.81</v>
      </c>
      <c r="K9" s="24">
        <f>[1]Jul4!K24</f>
        <v>11.81</v>
      </c>
      <c r="L9" s="24">
        <f>[1]Jul4!L24</f>
        <v>11.81</v>
      </c>
      <c r="M9" s="24">
        <f>[1]Jul4!M24</f>
        <v>11.81</v>
      </c>
      <c r="N9" s="24">
        <f>[1]Jul4!N24</f>
        <v>11.81</v>
      </c>
      <c r="O9" s="24">
        <f>[1]Jul4!O24</f>
        <v>11.81</v>
      </c>
      <c r="P9" s="24">
        <f>[1]Jul4!P24</f>
        <v>11.81</v>
      </c>
      <c r="Q9" s="24">
        <f>[1]Jul4!Q24</f>
        <v>11.81</v>
      </c>
      <c r="R9" s="24">
        <f>[1]Jul4!R24</f>
        <v>11.81</v>
      </c>
      <c r="S9" s="24">
        <f>[1]Jul4!S24</f>
        <v>11.81</v>
      </c>
      <c r="T9" s="24">
        <f>[1]Jul4!T24</f>
        <v>11.81</v>
      </c>
      <c r="U9" s="24">
        <f>[1]Jul4!U24</f>
        <v>11.81</v>
      </c>
      <c r="V9" s="24">
        <f>[1]Jul4!V24</f>
        <v>11.81</v>
      </c>
      <c r="W9" s="24">
        <f>[1]Jul4!W24</f>
        <v>11.81</v>
      </c>
      <c r="X9" s="24">
        <f>[1]Jul4!X24</f>
        <v>11.81</v>
      </c>
      <c r="Y9" s="24">
        <f>[1]Jul4!Y24</f>
        <v>11.81</v>
      </c>
      <c r="Z9" s="28">
        <f t="shared" si="0"/>
        <v>11.81</v>
      </c>
      <c r="AA9" s="26">
        <v>4</v>
      </c>
      <c r="AB9" s="27">
        <f t="shared" si="1"/>
        <v>11.81</v>
      </c>
      <c r="AC9" s="27">
        <f t="shared" si="2"/>
        <v>11.81</v>
      </c>
    </row>
    <row r="10" spans="1:42" ht="14.25" customHeight="1" x14ac:dyDescent="0.25">
      <c r="A10" s="23">
        <v>5</v>
      </c>
      <c r="B10" s="24">
        <f>[1]JUL5!B24</f>
        <v>11.81</v>
      </c>
      <c r="C10" s="24">
        <f>[1]JUL5!C24</f>
        <v>11.81</v>
      </c>
      <c r="D10" s="24">
        <f>[1]JUL5!D24</f>
        <v>11.81</v>
      </c>
      <c r="E10" s="24">
        <f>[1]JUL5!E24</f>
        <v>11.81</v>
      </c>
      <c r="F10" s="24">
        <f>[1]JUL5!F24</f>
        <v>11.81</v>
      </c>
      <c r="G10" s="24">
        <f>[1]JUL5!G24</f>
        <v>11.81</v>
      </c>
      <c r="H10" s="24">
        <f>[1]JUL5!H24</f>
        <v>11.81</v>
      </c>
      <c r="I10" s="24">
        <f>[1]JUL5!I24</f>
        <v>11.81</v>
      </c>
      <c r="J10" s="24">
        <f>[1]JUL5!J24</f>
        <v>11.81</v>
      </c>
      <c r="K10" s="24">
        <f>[1]JUL5!K24</f>
        <v>11.81</v>
      </c>
      <c r="L10" s="24">
        <f>[1]JUL5!L24</f>
        <v>11.81</v>
      </c>
      <c r="M10" s="24">
        <f>[1]JUL5!M24</f>
        <v>11.81</v>
      </c>
      <c r="N10" s="24">
        <f>[1]JUL5!N24</f>
        <v>11.81</v>
      </c>
      <c r="O10" s="24">
        <f>[1]JUL5!O24</f>
        <v>11.81</v>
      </c>
      <c r="P10" s="24">
        <f>[1]JUL5!P24</f>
        <v>11.81</v>
      </c>
      <c r="Q10" s="24">
        <f>[1]JUL5!Q24</f>
        <v>11.81</v>
      </c>
      <c r="R10" s="24">
        <f>[1]JUL5!R24</f>
        <v>11.81</v>
      </c>
      <c r="S10" s="24">
        <f>[1]JUL5!S24</f>
        <v>11.81</v>
      </c>
      <c r="T10" s="24">
        <f>[1]JUL5!T24</f>
        <v>11.81</v>
      </c>
      <c r="U10" s="24">
        <f>[1]JUL5!U24</f>
        <v>11.81</v>
      </c>
      <c r="V10" s="24">
        <f>[1]JUL5!V24</f>
        <v>11.81</v>
      </c>
      <c r="W10" s="24">
        <f>[1]JUL5!W24</f>
        <v>11.81</v>
      </c>
      <c r="X10" s="24">
        <f>[1]JUL5!X24</f>
        <v>11.81</v>
      </c>
      <c r="Y10" s="24">
        <f>[1]JUL5!Y24</f>
        <v>11.81</v>
      </c>
      <c r="Z10" s="28">
        <f t="shared" si="0"/>
        <v>11.81</v>
      </c>
      <c r="AA10" s="26">
        <v>5</v>
      </c>
      <c r="AB10" s="27">
        <f t="shared" si="1"/>
        <v>11.81</v>
      </c>
      <c r="AC10" s="27">
        <f t="shared" si="2"/>
        <v>11.81</v>
      </c>
    </row>
    <row r="11" spans="1:42" ht="14.25" customHeight="1" x14ac:dyDescent="0.25">
      <c r="A11" s="23">
        <v>6</v>
      </c>
      <c r="B11" s="24">
        <f>[1]Jul6!B24</f>
        <v>11.81</v>
      </c>
      <c r="C11" s="24">
        <f>[1]Jul6!C24</f>
        <v>11.81</v>
      </c>
      <c r="D11" s="24">
        <f>[1]Jul6!D24</f>
        <v>11.81</v>
      </c>
      <c r="E11" s="24">
        <f>[1]Jul6!E24</f>
        <v>11.81</v>
      </c>
      <c r="F11" s="24">
        <f>[1]Jul6!F24</f>
        <v>11.81</v>
      </c>
      <c r="G11" s="24">
        <f>[1]Jul6!G24</f>
        <v>11.81</v>
      </c>
      <c r="H11" s="24">
        <f>[1]Jul6!H24</f>
        <v>11.81</v>
      </c>
      <c r="I11" s="24">
        <f>[1]Jul6!I24</f>
        <v>11.81</v>
      </c>
      <c r="J11" s="24">
        <f>[1]Jul6!J24</f>
        <v>11.81</v>
      </c>
      <c r="K11" s="24">
        <f>[1]Jul6!K24</f>
        <v>11.81</v>
      </c>
      <c r="L11" s="24">
        <f>[1]Jul6!L24</f>
        <v>11.81</v>
      </c>
      <c r="M11" s="24">
        <f>[1]Jul6!M24</f>
        <v>11.81</v>
      </c>
      <c r="N11" s="24">
        <f>[1]Jul6!N24</f>
        <v>11.81</v>
      </c>
      <c r="O11" s="24">
        <f>[1]Jul6!O24</f>
        <v>11.81</v>
      </c>
      <c r="P11" s="24">
        <f>[1]Jul6!P24</f>
        <v>11.81</v>
      </c>
      <c r="Q11" s="24">
        <f>[1]Jul6!Q24</f>
        <v>11.81</v>
      </c>
      <c r="R11" s="24">
        <f>[1]Jul6!R24</f>
        <v>11.81</v>
      </c>
      <c r="S11" s="24">
        <f>[1]Jul6!S24</f>
        <v>11.81</v>
      </c>
      <c r="T11" s="24">
        <f>[1]Jul6!T24</f>
        <v>11.8</v>
      </c>
      <c r="U11" s="24">
        <f>[1]Jul6!U24</f>
        <v>11.8</v>
      </c>
      <c r="V11" s="24">
        <f>[1]Jul6!V24</f>
        <v>11.8</v>
      </c>
      <c r="W11" s="24">
        <f>[1]Jul6!W24</f>
        <v>11.8</v>
      </c>
      <c r="X11" s="24">
        <f>[1]Jul6!X24</f>
        <v>11.8</v>
      </c>
      <c r="Y11" s="24">
        <f>[1]Jul6!Y24</f>
        <v>11.8</v>
      </c>
      <c r="Z11" s="25">
        <f t="shared" si="0"/>
        <v>11.807500000000003</v>
      </c>
      <c r="AA11" s="26">
        <v>6</v>
      </c>
      <c r="AB11" s="27">
        <f>MAX(B11:Y11)</f>
        <v>11.81</v>
      </c>
      <c r="AC11" s="27">
        <f>MIN(B11:Y11)</f>
        <v>11.8</v>
      </c>
    </row>
    <row r="12" spans="1:42" ht="14.25" customHeight="1" x14ac:dyDescent="0.25">
      <c r="A12" s="23">
        <v>7</v>
      </c>
      <c r="B12" s="24">
        <f>[1]Jul7!B24</f>
        <v>11.8</v>
      </c>
      <c r="C12" s="24">
        <f>[1]Jul7!C24</f>
        <v>11.8</v>
      </c>
      <c r="D12" s="24">
        <f>[1]Jul7!D24</f>
        <v>11.8</v>
      </c>
      <c r="E12" s="24">
        <f>[1]Jul7!E24</f>
        <v>11.8</v>
      </c>
      <c r="F12" s="24">
        <f>[1]Jul7!F24</f>
        <v>11.8</v>
      </c>
      <c r="G12" s="24">
        <f>[1]Jul7!G24</f>
        <v>11.8</v>
      </c>
      <c r="H12" s="24">
        <f>[1]Jul7!H24</f>
        <v>11.8</v>
      </c>
      <c r="I12" s="24">
        <f>[1]Jul7!I24</f>
        <v>11.8</v>
      </c>
      <c r="J12" s="24">
        <f>[1]Jul7!J24</f>
        <v>11.8</v>
      </c>
      <c r="K12" s="24">
        <f>[1]Jul7!K24</f>
        <v>11.8</v>
      </c>
      <c r="L12" s="24">
        <f>[1]Jul7!L24</f>
        <v>11.8</v>
      </c>
      <c r="M12" s="24">
        <f>[1]Jul7!M24</f>
        <v>11.8</v>
      </c>
      <c r="N12" s="24">
        <f>[1]Jul7!N24</f>
        <v>11.8</v>
      </c>
      <c r="O12" s="24">
        <f>[1]Jul7!O24</f>
        <v>11.8</v>
      </c>
      <c r="P12" s="24">
        <f>[1]Jul7!P24</f>
        <v>11.8</v>
      </c>
      <c r="Q12" s="24">
        <f>[1]Jul7!Q24</f>
        <v>11.8</v>
      </c>
      <c r="R12" s="24">
        <f>[1]Jul7!R24</f>
        <v>11.8</v>
      </c>
      <c r="S12" s="24">
        <f>[1]Jul7!S24</f>
        <v>11.8</v>
      </c>
      <c r="T12" s="24">
        <f>[1]Jul7!T24</f>
        <v>11.8</v>
      </c>
      <c r="U12" s="24">
        <f>[1]Jul7!U24</f>
        <v>11.8</v>
      </c>
      <c r="V12" s="24">
        <f>[1]Jul7!V24</f>
        <v>11.8</v>
      </c>
      <c r="W12" s="24">
        <f>[1]Jul7!W24</f>
        <v>11.8</v>
      </c>
      <c r="X12" s="24">
        <f>[1]Jul7!X24</f>
        <v>11.8</v>
      </c>
      <c r="Y12" s="24">
        <f>[1]Jul7!Y24</f>
        <v>11.8</v>
      </c>
      <c r="Z12" s="25">
        <f t="shared" si="0"/>
        <v>11.800000000000004</v>
      </c>
      <c r="AA12" s="26">
        <v>7</v>
      </c>
      <c r="AB12" s="27">
        <f t="shared" si="1"/>
        <v>11.8</v>
      </c>
      <c r="AC12" s="27">
        <f t="shared" si="2"/>
        <v>11.8</v>
      </c>
    </row>
    <row r="13" spans="1:42" ht="14.25" customHeight="1" x14ac:dyDescent="0.25">
      <c r="A13" s="23">
        <v>8</v>
      </c>
      <c r="B13" s="24">
        <f>[1]Jul8!B24</f>
        <v>11.8</v>
      </c>
      <c r="C13" s="24">
        <f>[1]Jul8!C24</f>
        <v>11.8</v>
      </c>
      <c r="D13" s="24">
        <f>[1]Jul8!D24</f>
        <v>11.8</v>
      </c>
      <c r="E13" s="24">
        <f>[1]Jul8!E24</f>
        <v>11.8</v>
      </c>
      <c r="F13" s="24">
        <f>[1]Jul8!F24</f>
        <v>11.8</v>
      </c>
      <c r="G13" s="24">
        <f>[1]Jul8!G24</f>
        <v>11.8</v>
      </c>
      <c r="H13" s="24">
        <f>[1]Jul8!H24</f>
        <v>11.8</v>
      </c>
      <c r="I13" s="24">
        <f>[1]Jul8!I24</f>
        <v>11.8</v>
      </c>
      <c r="J13" s="24">
        <f>[1]Jul8!J24</f>
        <v>11.8</v>
      </c>
      <c r="K13" s="24">
        <f>[1]Jul8!K24</f>
        <v>11.8</v>
      </c>
      <c r="L13" s="24">
        <f>[1]Jul8!L24</f>
        <v>11.8</v>
      </c>
      <c r="M13" s="24">
        <f>[1]Jul8!M24</f>
        <v>11.8</v>
      </c>
      <c r="N13" s="24">
        <f>[1]Jul8!N24</f>
        <v>11.8</v>
      </c>
      <c r="O13" s="24">
        <f>[1]Jul8!O24</f>
        <v>11.8</v>
      </c>
      <c r="P13" s="24">
        <f>[1]Jul8!P24</f>
        <v>11.8</v>
      </c>
      <c r="Q13" s="24">
        <f>[1]Jul8!Q24</f>
        <v>11.8</v>
      </c>
      <c r="R13" s="24">
        <f>[1]Jul8!R24</f>
        <v>11.8</v>
      </c>
      <c r="S13" s="24">
        <f>[1]Jul8!S24</f>
        <v>11.8</v>
      </c>
      <c r="T13" s="24">
        <f>[1]Jul8!T24</f>
        <v>11.8</v>
      </c>
      <c r="U13" s="24">
        <f>[1]Jul8!U24</f>
        <v>11.8</v>
      </c>
      <c r="V13" s="24">
        <f>[1]Jul8!V24</f>
        <v>11.8</v>
      </c>
      <c r="W13" s="24">
        <f>[1]Jul8!W24</f>
        <v>11.8</v>
      </c>
      <c r="X13" s="24">
        <f>[1]Jul8!X24</f>
        <v>11.8</v>
      </c>
      <c r="Y13" s="24">
        <f>[1]Jul8!Y24</f>
        <v>11.8</v>
      </c>
      <c r="Z13" s="25">
        <f t="shared" si="0"/>
        <v>11.800000000000004</v>
      </c>
      <c r="AA13" s="26">
        <v>8</v>
      </c>
      <c r="AB13" s="27">
        <f t="shared" si="1"/>
        <v>11.8</v>
      </c>
      <c r="AC13" s="27">
        <f t="shared" si="2"/>
        <v>11.8</v>
      </c>
    </row>
    <row r="14" spans="1:42" ht="14.25" customHeight="1" x14ac:dyDescent="0.25">
      <c r="A14" s="23">
        <v>9</v>
      </c>
      <c r="B14" s="24">
        <f>[1]Jul9!B24</f>
        <v>11.8</v>
      </c>
      <c r="C14" s="24">
        <f>[1]Jul9!C24</f>
        <v>11.8</v>
      </c>
      <c r="D14" s="24">
        <f>[1]Jul9!D24</f>
        <v>11.8</v>
      </c>
      <c r="E14" s="24">
        <f>[1]Jul9!E24</f>
        <v>11.8</v>
      </c>
      <c r="F14" s="24">
        <f>[1]Jul9!F24</f>
        <v>11.8</v>
      </c>
      <c r="G14" s="24">
        <f>[1]Jul9!G24</f>
        <v>11.8</v>
      </c>
      <c r="H14" s="24">
        <f>[1]Jul9!H24</f>
        <v>11.9</v>
      </c>
      <c r="I14" s="24">
        <f>[1]Jul9!I24</f>
        <v>11.81</v>
      </c>
      <c r="J14" s="24">
        <f>[1]Jul9!J24</f>
        <v>11.81</v>
      </c>
      <c r="K14" s="24">
        <f>[1]Jul9!K24</f>
        <v>11.81</v>
      </c>
      <c r="L14" s="24">
        <f>[1]Jul9!L24</f>
        <v>11.94</v>
      </c>
      <c r="M14" s="24">
        <f>[1]Jul9!M24</f>
        <v>11.81</v>
      </c>
      <c r="N14" s="24">
        <f>[1]Jul9!N24</f>
        <v>11.81</v>
      </c>
      <c r="O14" s="24">
        <f>[1]Jul9!O24</f>
        <v>11.81</v>
      </c>
      <c r="P14" s="24">
        <f>[1]Jul9!P24</f>
        <v>11.81</v>
      </c>
      <c r="Q14" s="24">
        <f>[1]Jul9!Q24</f>
        <v>11.81</v>
      </c>
      <c r="R14" s="24">
        <f>[1]Jul9!R24</f>
        <v>11.81</v>
      </c>
      <c r="S14" s="24">
        <f>[1]Jul9!S24</f>
        <v>11.81</v>
      </c>
      <c r="T14" s="24">
        <f>[1]Jul9!T24</f>
        <v>11.81</v>
      </c>
      <c r="U14" s="24">
        <f>[1]Jul9!U24</f>
        <v>11.81</v>
      </c>
      <c r="V14" s="24">
        <f>[1]Jul9!V24</f>
        <v>11.81</v>
      </c>
      <c r="W14" s="24">
        <f>[1]Jul9!W24</f>
        <v>11.81</v>
      </c>
      <c r="X14" s="24">
        <f>[1]Jul9!X24</f>
        <v>11.81</v>
      </c>
      <c r="Y14" s="24">
        <f>[1]Jul9!Y24</f>
        <v>11.81</v>
      </c>
      <c r="Z14" s="25">
        <f t="shared" si="0"/>
        <v>11.816666666666668</v>
      </c>
      <c r="AA14" s="26">
        <v>9</v>
      </c>
      <c r="AB14" s="27">
        <f t="shared" si="1"/>
        <v>11.94</v>
      </c>
      <c r="AC14" s="27">
        <f t="shared" si="2"/>
        <v>11.8</v>
      </c>
    </row>
    <row r="15" spans="1:42" ht="14.25" customHeight="1" x14ac:dyDescent="0.25">
      <c r="A15" s="23">
        <v>10</v>
      </c>
      <c r="B15" s="24">
        <f>[1]Jul10!B24</f>
        <v>11.81</v>
      </c>
      <c r="C15" s="24">
        <f>[1]Jul10!C24</f>
        <v>11.81</v>
      </c>
      <c r="D15" s="24">
        <f>[1]Jul10!D24</f>
        <v>11.81</v>
      </c>
      <c r="E15" s="24">
        <f>[1]Jul10!E24</f>
        <v>11.81</v>
      </c>
      <c r="F15" s="24">
        <f>[1]Jul10!F24</f>
        <v>11.81</v>
      </c>
      <c r="G15" s="24">
        <f>[1]Jul10!G24</f>
        <v>11.81</v>
      </c>
      <c r="H15" s="24">
        <f>[1]Jul10!H24</f>
        <v>11.81</v>
      </c>
      <c r="I15" s="24">
        <f>[1]Jul10!I24</f>
        <v>11.81</v>
      </c>
      <c r="J15" s="24">
        <f>[1]Jul10!J24</f>
        <v>11.81</v>
      </c>
      <c r="K15" s="24">
        <f>[1]Jul10!K24</f>
        <v>11.81</v>
      </c>
      <c r="L15" s="24">
        <f>[1]Jul10!L24</f>
        <v>11.81</v>
      </c>
      <c r="M15" s="24">
        <f>[1]Jul10!M24</f>
        <v>11.81</v>
      </c>
      <c r="N15" s="24">
        <f>[1]Jul10!N24</f>
        <v>11.81</v>
      </c>
      <c r="O15" s="24">
        <f>[1]Jul10!O24</f>
        <v>11.81</v>
      </c>
      <c r="P15" s="24">
        <f>[1]Jul10!P24</f>
        <v>11.81</v>
      </c>
      <c r="Q15" s="24">
        <f>[1]Jul10!Q24</f>
        <v>11.81</v>
      </c>
      <c r="R15" s="24">
        <f>[1]Jul10!R24</f>
        <v>11.81</v>
      </c>
      <c r="S15" s="24">
        <f>[1]Jul10!S24</f>
        <v>11.81</v>
      </c>
      <c r="T15" s="24">
        <f>[1]Jul10!T24</f>
        <v>11.81</v>
      </c>
      <c r="U15" s="24">
        <f>[1]Jul10!U24</f>
        <v>11.81</v>
      </c>
      <c r="V15" s="24">
        <f>[1]Jul10!V24</f>
        <v>11.81</v>
      </c>
      <c r="W15" s="24">
        <f>[1]Jul10!W24</f>
        <v>11.81</v>
      </c>
      <c r="X15" s="24">
        <f>[1]Jul10!X24</f>
        <v>11.81</v>
      </c>
      <c r="Y15" s="24">
        <f>[1]Jul10!Y24</f>
        <v>11.81</v>
      </c>
      <c r="Z15" s="25">
        <f t="shared" si="0"/>
        <v>11.81</v>
      </c>
      <c r="AA15" s="26">
        <v>10</v>
      </c>
      <c r="AB15" s="27">
        <f t="shared" si="1"/>
        <v>11.81</v>
      </c>
      <c r="AC15" s="27">
        <f t="shared" si="2"/>
        <v>11.81</v>
      </c>
    </row>
    <row r="16" spans="1:42" ht="14.25" customHeight="1" x14ac:dyDescent="0.25">
      <c r="A16" s="23">
        <v>11</v>
      </c>
      <c r="B16" s="24">
        <f>[1]Jul11!B24</f>
        <v>11.81</v>
      </c>
      <c r="C16" s="24">
        <f>[1]Jul11!C24</f>
        <v>11.81</v>
      </c>
      <c r="D16" s="24">
        <f>[1]Jul11!D24</f>
        <v>11.81</v>
      </c>
      <c r="E16" s="24">
        <f>[1]Jul11!E24</f>
        <v>11.81</v>
      </c>
      <c r="F16" s="24">
        <f>[1]Jul11!F24</f>
        <v>11.81</v>
      </c>
      <c r="G16" s="24">
        <f>[1]Jul11!G24</f>
        <v>11.81</v>
      </c>
      <c r="H16" s="24">
        <f>[1]Jul11!H24</f>
        <v>11.81</v>
      </c>
      <c r="I16" s="24">
        <f>[1]Jul11!I24</f>
        <v>11.81</v>
      </c>
      <c r="J16" s="24">
        <f>[1]Jul11!J24</f>
        <v>11.81</v>
      </c>
      <c r="K16" s="24">
        <f>[1]Jul11!K24</f>
        <v>11.81</v>
      </c>
      <c r="L16" s="24">
        <f>[1]Jul11!L24</f>
        <v>11.81</v>
      </c>
      <c r="M16" s="24">
        <f>[1]Jul11!M24</f>
        <v>11.81</v>
      </c>
      <c r="N16" s="24">
        <f>[1]Jul11!N24</f>
        <v>11.81</v>
      </c>
      <c r="O16" s="24">
        <f>[1]Jul11!O24</f>
        <v>11.81</v>
      </c>
      <c r="P16" s="24">
        <f>[1]Jul11!P24</f>
        <v>11.81</v>
      </c>
      <c r="Q16" s="24">
        <f>[1]Jul11!Q24</f>
        <v>11.81</v>
      </c>
      <c r="R16" s="24">
        <f>[1]Jul11!R24</f>
        <v>11.81</v>
      </c>
      <c r="S16" s="24">
        <f>[1]Jul11!S24</f>
        <v>11.81</v>
      </c>
      <c r="T16" s="24">
        <f>[1]Jul11!T24</f>
        <v>11.81</v>
      </c>
      <c r="U16" s="24">
        <f>[1]Jul11!U24</f>
        <v>11.81</v>
      </c>
      <c r="V16" s="24">
        <f>[1]Jul11!V24</f>
        <v>11.81</v>
      </c>
      <c r="W16" s="24">
        <f>[1]Jul11!W24</f>
        <v>11.81</v>
      </c>
      <c r="X16" s="24">
        <f>[1]Jul11!X24</f>
        <v>11.81</v>
      </c>
      <c r="Y16" s="24">
        <f>[1]Jul11!Y24</f>
        <v>11.81</v>
      </c>
      <c r="Z16" s="25">
        <f t="shared" si="0"/>
        <v>11.81</v>
      </c>
      <c r="AA16" s="26">
        <v>11</v>
      </c>
      <c r="AB16" s="27">
        <f t="shared" si="1"/>
        <v>11.81</v>
      </c>
      <c r="AC16" s="27">
        <f t="shared" si="2"/>
        <v>11.81</v>
      </c>
    </row>
    <row r="17" spans="1:29" ht="14.25" customHeight="1" x14ac:dyDescent="0.25">
      <c r="A17" s="23">
        <v>12</v>
      </c>
      <c r="B17" s="24">
        <f>[1]Jul12!B24</f>
        <v>11.81</v>
      </c>
      <c r="C17" s="24">
        <f>[1]Jul12!C24</f>
        <v>11.81</v>
      </c>
      <c r="D17" s="24">
        <f>[1]Jul12!D24</f>
        <v>11.81</v>
      </c>
      <c r="E17" s="24">
        <f>[1]Jul12!E24</f>
        <v>11.81</v>
      </c>
      <c r="F17" s="24">
        <f>[1]Jul12!F24</f>
        <v>11.81</v>
      </c>
      <c r="G17" s="24">
        <f>[1]Jul12!G24</f>
        <v>11.81</v>
      </c>
      <c r="H17" s="24">
        <f>[1]Jul12!H24</f>
        <v>11.81</v>
      </c>
      <c r="I17" s="24">
        <f>[1]Jul12!I24</f>
        <v>11.81</v>
      </c>
      <c r="J17" s="24">
        <f>[1]Jul12!J24</f>
        <v>11.81</v>
      </c>
      <c r="K17" s="24">
        <f>[1]Jul12!K24</f>
        <v>11.81</v>
      </c>
      <c r="L17" s="24">
        <f>[1]Jul12!L24</f>
        <v>11.81</v>
      </c>
      <c r="M17" s="24">
        <f>[1]Jul12!M24</f>
        <v>11.81</v>
      </c>
      <c r="N17" s="24">
        <f>[1]Jul12!N24</f>
        <v>11.81</v>
      </c>
      <c r="O17" s="24">
        <f>[1]Jul12!O24</f>
        <v>11.81</v>
      </c>
      <c r="P17" s="24">
        <f>[1]Jul12!P24</f>
        <v>11.81</v>
      </c>
      <c r="Q17" s="24">
        <f>[1]Jul12!Q24</f>
        <v>11.81</v>
      </c>
      <c r="R17" s="24">
        <f>[1]Jul12!R24</f>
        <v>11.81</v>
      </c>
      <c r="S17" s="24">
        <f>[1]Jul12!S24</f>
        <v>11.81</v>
      </c>
      <c r="T17" s="24">
        <f>[1]Jul12!T24</f>
        <v>11.81</v>
      </c>
      <c r="U17" s="24">
        <f>[1]Jul12!U24</f>
        <v>11.81</v>
      </c>
      <c r="V17" s="24">
        <f>[1]Jul12!V24</f>
        <v>11.81</v>
      </c>
      <c r="W17" s="24">
        <f>[1]Jul12!W24</f>
        <v>11.81</v>
      </c>
      <c r="X17" s="24">
        <f>[1]Jul12!X24</f>
        <v>11.81</v>
      </c>
      <c r="Y17" s="24">
        <f>[1]Jul12!Y24</f>
        <v>11.81</v>
      </c>
      <c r="Z17" s="25">
        <f t="shared" si="0"/>
        <v>11.81</v>
      </c>
      <c r="AA17" s="26">
        <v>12</v>
      </c>
      <c r="AB17" s="27">
        <f t="shared" si="1"/>
        <v>11.81</v>
      </c>
      <c r="AC17" s="27">
        <f t="shared" si="2"/>
        <v>11.81</v>
      </c>
    </row>
    <row r="18" spans="1:29" ht="14.25" customHeight="1" x14ac:dyDescent="0.25">
      <c r="A18" s="23">
        <v>13</v>
      </c>
      <c r="B18" s="24">
        <f>[1]Jul13!B24</f>
        <v>11.81</v>
      </c>
      <c r="C18" s="24">
        <f>[1]Jul13!C24</f>
        <v>11.81</v>
      </c>
      <c r="D18" s="24">
        <f>[1]Jul13!D24</f>
        <v>11.81</v>
      </c>
      <c r="E18" s="24">
        <f>[1]Jul13!E24</f>
        <v>11.81</v>
      </c>
      <c r="F18" s="24">
        <f>[1]Jul13!F24</f>
        <v>11.84</v>
      </c>
      <c r="G18" s="24">
        <f>[1]Jul13!G24</f>
        <v>11.88</v>
      </c>
      <c r="H18" s="24">
        <f>[1]Jul13!H24</f>
        <v>11.94</v>
      </c>
      <c r="I18" s="24">
        <f>[1]Jul13!I24</f>
        <v>11.89</v>
      </c>
      <c r="J18" s="24">
        <f>[1]Jul13!J24</f>
        <v>11.86</v>
      </c>
      <c r="K18" s="24">
        <f>[1]Jul13!K24</f>
        <v>12.05</v>
      </c>
      <c r="L18" s="24">
        <f>[1]Jul13!L24</f>
        <v>13.46</v>
      </c>
      <c r="M18" s="24">
        <f>[1]Jul13!M24</f>
        <v>14.15</v>
      </c>
      <c r="N18" s="24">
        <f>[1]Jul13!N24</f>
        <v>14.11</v>
      </c>
      <c r="O18" s="24">
        <f>[1]Jul13!O24</f>
        <v>13.58</v>
      </c>
      <c r="P18" s="24">
        <f>[1]Jul13!P24</f>
        <v>13.08</v>
      </c>
      <c r="Q18" s="24">
        <f>[1]Jul13!Q24</f>
        <v>13.01</v>
      </c>
      <c r="R18" s="24">
        <f>[1]Jul13!R24</f>
        <v>13.2</v>
      </c>
      <c r="S18" s="24">
        <f>[1]Jul13!S24</f>
        <v>13.34</v>
      </c>
      <c r="T18" s="24">
        <f>[1]Jul13!T24</f>
        <v>13.33</v>
      </c>
      <c r="U18" s="24">
        <f>[1]Jul13!U24</f>
        <v>13.27</v>
      </c>
      <c r="V18" s="24">
        <f>[1]Jul13!V24</f>
        <v>13.12</v>
      </c>
      <c r="W18" s="24">
        <f>[1]Jul13!W24</f>
        <v>13.01</v>
      </c>
      <c r="X18" s="24">
        <f>[1]Jul13!X24</f>
        <v>12.89</v>
      </c>
      <c r="Y18" s="24">
        <f>[1]Jul13!Y24</f>
        <v>12.79</v>
      </c>
      <c r="Z18" s="25">
        <f t="shared" si="0"/>
        <v>12.71</v>
      </c>
      <c r="AA18" s="26">
        <v>13</v>
      </c>
      <c r="AB18" s="27">
        <f t="shared" si="1"/>
        <v>14.15</v>
      </c>
      <c r="AC18" s="27">
        <f t="shared" si="2"/>
        <v>11.81</v>
      </c>
    </row>
    <row r="19" spans="1:29" ht="14.25" customHeight="1" x14ac:dyDescent="0.25">
      <c r="A19" s="23">
        <v>14</v>
      </c>
      <c r="B19" s="24">
        <f>[1]Jul14!B24</f>
        <v>12.67</v>
      </c>
      <c r="C19" s="24">
        <f>[1]Jul14!C24</f>
        <v>12.55</v>
      </c>
      <c r="D19" s="24">
        <f>[1]Jul14!D24</f>
        <v>12.47</v>
      </c>
      <c r="E19" s="24">
        <f>[1]Jul14!E24</f>
        <v>12.36</v>
      </c>
      <c r="F19" s="24">
        <f>[1]Jul14!F24</f>
        <v>12.27</v>
      </c>
      <c r="G19" s="24">
        <f>[1]Jul14!G24</f>
        <v>12.2</v>
      </c>
      <c r="H19" s="24">
        <f>[1]Jul14!H24</f>
        <v>12.14</v>
      </c>
      <c r="I19" s="24">
        <f>[1]Jul14!I24</f>
        <v>12.09</v>
      </c>
      <c r="J19" s="24">
        <f>[1]Jul14!J24</f>
        <v>12.03</v>
      </c>
      <c r="K19" s="24">
        <f>[1]Jul14!K24</f>
        <v>11.98</v>
      </c>
      <c r="L19" s="24">
        <f>[1]Jul14!L24</f>
        <v>12.01</v>
      </c>
      <c r="M19" s="24">
        <f>[1]Jul14!M24</f>
        <v>12.79</v>
      </c>
      <c r="N19" s="24">
        <f>[1]Jul14!N24</f>
        <v>12.95</v>
      </c>
      <c r="O19" s="24">
        <f>[1]Jul14!O24</f>
        <v>13.2</v>
      </c>
      <c r="P19" s="24">
        <f>[1]Jul14!P24</f>
        <v>13.33</v>
      </c>
      <c r="Q19" s="24">
        <f>[1]Jul14!Q24</f>
        <v>13.32</v>
      </c>
      <c r="R19" s="24">
        <f>[1]Jul14!R24</f>
        <v>13</v>
      </c>
      <c r="S19" s="24">
        <f>[1]Jul14!S24</f>
        <v>12.79</v>
      </c>
      <c r="T19" s="24">
        <f>[1]Jul14!T24</f>
        <v>12.67</v>
      </c>
      <c r="U19" s="24">
        <f>[1]Jul14!U24</f>
        <v>12.63</v>
      </c>
      <c r="V19" s="24">
        <f>[1]Jul14!V24</f>
        <v>12.66</v>
      </c>
      <c r="W19" s="24">
        <f>[1]Jul14!W24</f>
        <v>12.68</v>
      </c>
      <c r="X19" s="24">
        <f>[1]Jul14!X24</f>
        <v>12.69</v>
      </c>
      <c r="Y19" s="24">
        <f>[1]Jul14!Y24</f>
        <v>12.68</v>
      </c>
      <c r="Z19" s="25">
        <f t="shared" si="0"/>
        <v>12.589999999999998</v>
      </c>
      <c r="AA19" s="26">
        <v>14</v>
      </c>
      <c r="AB19" s="27">
        <f t="shared" si="1"/>
        <v>13.33</v>
      </c>
      <c r="AC19" s="27">
        <f t="shared" si="2"/>
        <v>11.98</v>
      </c>
    </row>
    <row r="20" spans="1:29" ht="14.25" customHeight="1" x14ac:dyDescent="0.25">
      <c r="A20" s="23">
        <v>15</v>
      </c>
      <c r="B20" s="24">
        <f>[1]Jul15!B24</f>
        <v>12.67</v>
      </c>
      <c r="C20" s="24">
        <f>[1]Jul15!C24</f>
        <v>12.62</v>
      </c>
      <c r="D20" s="24">
        <f>[1]Jul15!D24</f>
        <v>12.55</v>
      </c>
      <c r="E20" s="24">
        <f>[1]Jul15!E24</f>
        <v>12.49</v>
      </c>
      <c r="F20" s="24">
        <f>[1]Jul15!F24</f>
        <v>12.46</v>
      </c>
      <c r="G20" s="24">
        <f>[1]Jul15!G24</f>
        <v>12.54</v>
      </c>
      <c r="H20" s="24">
        <f>[1]Jul15!H24</f>
        <v>12.56</v>
      </c>
      <c r="I20" s="24">
        <f>[1]Jul15!I24</f>
        <v>12.54</v>
      </c>
      <c r="J20" s="24">
        <f>[1]Jul15!J24</f>
        <v>12.54</v>
      </c>
      <c r="K20" s="24">
        <f>[1]Jul15!K24</f>
        <v>12.52</v>
      </c>
      <c r="L20" s="24">
        <f>[1]Jul15!L24</f>
        <v>12.46</v>
      </c>
      <c r="M20" s="24">
        <f>[1]Jul15!M24</f>
        <v>12.4</v>
      </c>
      <c r="N20" s="24">
        <f>[1]Jul15!N24</f>
        <v>12.38</v>
      </c>
      <c r="O20" s="24">
        <f>[1]Jul15!O24</f>
        <v>12.42</v>
      </c>
      <c r="P20" s="24">
        <f>[1]Jul15!P24</f>
        <v>12.46</v>
      </c>
      <c r="Q20" s="24">
        <f>[1]Jul15!Q24</f>
        <v>12.52</v>
      </c>
      <c r="R20" s="24">
        <f>[1]Jul15!R24</f>
        <v>12.51</v>
      </c>
      <c r="S20" s="24">
        <f>[1]Jul15!S24</f>
        <v>12.5</v>
      </c>
      <c r="T20" s="24">
        <f>[1]Jul15!T24</f>
        <v>12.55</v>
      </c>
      <c r="U20" s="24">
        <f>[1]Jul15!U24</f>
        <v>12.63</v>
      </c>
      <c r="V20" s="24">
        <f>[1]Jul15!V24</f>
        <v>12.7</v>
      </c>
      <c r="W20" s="24">
        <f>[1]Jul15!W24</f>
        <v>13.25</v>
      </c>
      <c r="X20" s="24">
        <f>[1]Jul15!X24</f>
        <v>13.5</v>
      </c>
      <c r="Y20" s="24">
        <f>[1]Jul15!Y24</f>
        <v>13.361000000000001</v>
      </c>
      <c r="Z20" s="25">
        <f t="shared" si="0"/>
        <v>12.630458333333332</v>
      </c>
      <c r="AA20" s="26">
        <v>15</v>
      </c>
      <c r="AB20" s="27">
        <f t="shared" si="1"/>
        <v>13.5</v>
      </c>
      <c r="AC20" s="27">
        <f t="shared" si="2"/>
        <v>12.38</v>
      </c>
    </row>
    <row r="21" spans="1:29" ht="14.25" customHeight="1" x14ac:dyDescent="0.25">
      <c r="A21" s="23">
        <v>16</v>
      </c>
      <c r="B21" s="24">
        <f>[1]Jul16!B24</f>
        <v>13.57</v>
      </c>
      <c r="C21" s="24">
        <f>[1]Jul16!C24</f>
        <v>13.47</v>
      </c>
      <c r="D21" s="24">
        <f>[1]Jul16!D24</f>
        <v>13.37</v>
      </c>
      <c r="E21" s="24">
        <f>[1]Jul16!E24</f>
        <v>13.34</v>
      </c>
      <c r="F21" s="24">
        <f>[1]Jul16!F24</f>
        <v>13.33</v>
      </c>
      <c r="G21" s="24">
        <f>[1]Jul16!G24</f>
        <v>13.34</v>
      </c>
      <c r="H21" s="24">
        <f>[1]Jul16!H24</f>
        <v>13.3</v>
      </c>
      <c r="I21" s="24">
        <f>[1]Jul16!I24</f>
        <v>13.27</v>
      </c>
      <c r="J21" s="24">
        <f>[1]Jul16!J24</f>
        <v>13.21</v>
      </c>
      <c r="K21" s="24">
        <f>[1]Jul16!K24</f>
        <v>13.14</v>
      </c>
      <c r="L21" s="24">
        <f>[1]Jul16!L24</f>
        <v>13.04</v>
      </c>
      <c r="M21" s="24">
        <f>[1]Jul16!M24</f>
        <v>12.97</v>
      </c>
      <c r="N21" s="24">
        <f>[1]Jul16!N24</f>
        <v>12.9</v>
      </c>
      <c r="O21" s="24">
        <f>[1]Jul16!O24</f>
        <v>12.83</v>
      </c>
      <c r="P21" s="24">
        <f>[1]Jul16!P24</f>
        <v>12.79</v>
      </c>
      <c r="Q21" s="24">
        <f>[1]Jul16!Q24</f>
        <v>12.91</v>
      </c>
      <c r="R21" s="24">
        <f>[1]Jul16!R24</f>
        <v>13.17</v>
      </c>
      <c r="S21" s="24">
        <f>[1]Jul16!S24</f>
        <v>13.27</v>
      </c>
      <c r="T21" s="24">
        <f>[1]Jul16!T24</f>
        <v>13.31</v>
      </c>
      <c r="U21" s="24">
        <f>[1]Jul16!U24</f>
        <v>13.28</v>
      </c>
      <c r="V21" s="24">
        <f>[1]Jul16!V24</f>
        <v>13.17</v>
      </c>
      <c r="W21" s="24">
        <f>[1]Jul16!W24</f>
        <v>13.02</v>
      </c>
      <c r="X21" s="24">
        <f>[1]Jul16!X24</f>
        <v>12.92</v>
      </c>
      <c r="Y21" s="24">
        <f>[1]Jul16!Y24</f>
        <v>12.85</v>
      </c>
      <c r="Z21" s="25">
        <f t="shared" si="0"/>
        <v>13.157083333333333</v>
      </c>
      <c r="AA21" s="26">
        <v>16</v>
      </c>
      <c r="AB21" s="27">
        <f t="shared" si="1"/>
        <v>13.57</v>
      </c>
      <c r="AC21" s="27">
        <f t="shared" si="2"/>
        <v>12.79</v>
      </c>
    </row>
    <row r="22" spans="1:29" ht="14.25" customHeight="1" x14ac:dyDescent="0.25">
      <c r="A22" s="23">
        <v>17</v>
      </c>
      <c r="B22" s="24">
        <f>[1]Jul17!B24</f>
        <v>12.79</v>
      </c>
      <c r="C22" s="24">
        <f>[1]Jul17!C24</f>
        <v>12.76</v>
      </c>
      <c r="D22" s="24">
        <f>[1]Jul17!D24</f>
        <v>12.73</v>
      </c>
      <c r="E22" s="24">
        <f>[1]Jul17!E24</f>
        <v>12.69</v>
      </c>
      <c r="F22" s="24">
        <f>[1]Jul17!F24</f>
        <v>12.68</v>
      </c>
      <c r="G22" s="24">
        <f>[1]Jul17!G24</f>
        <v>12.72</v>
      </c>
      <c r="H22" s="24">
        <f>[1]Jul17!H24</f>
        <v>12.68</v>
      </c>
      <c r="I22" s="24">
        <f>[1]Jul17!I24</f>
        <v>12.63</v>
      </c>
      <c r="J22" s="24">
        <f>[1]Jul17!J24</f>
        <v>12.6</v>
      </c>
      <c r="K22" s="24">
        <f>[1]Jul17!K24</f>
        <v>12.57</v>
      </c>
      <c r="L22" s="24">
        <f>[1]Jul17!L24</f>
        <v>12.53</v>
      </c>
      <c r="M22" s="24">
        <f>[1]Jul17!M24</f>
        <v>12.5</v>
      </c>
      <c r="N22" s="24">
        <f>[1]Jul17!N24</f>
        <v>12.46</v>
      </c>
      <c r="O22" s="24">
        <f>[1]Jul17!O24</f>
        <v>12.43</v>
      </c>
      <c r="P22" s="24">
        <f>[1]Jul17!P24</f>
        <v>12.4</v>
      </c>
      <c r="Q22" s="24">
        <f>[1]Jul17!Q24</f>
        <v>12.38</v>
      </c>
      <c r="R22" s="24">
        <f>[1]Jul17!R24</f>
        <v>12.35</v>
      </c>
      <c r="S22" s="24">
        <f>[1]Jul17!S24</f>
        <v>12.32</v>
      </c>
      <c r="T22" s="24">
        <f>[1]Jul17!T24</f>
        <v>12.29</v>
      </c>
      <c r="U22" s="24">
        <f>[1]Jul17!U24</f>
        <v>12.27</v>
      </c>
      <c r="V22" s="24">
        <f>[1]Jul17!V24</f>
        <v>12.23</v>
      </c>
      <c r="W22" s="24">
        <f>[1]Jul17!W24</f>
        <v>12.21</v>
      </c>
      <c r="X22" s="24">
        <f>[1]Jul17!X24</f>
        <v>12.2</v>
      </c>
      <c r="Y22" s="24">
        <f>[1]Jul17!Y24</f>
        <v>12.18</v>
      </c>
      <c r="Z22" s="25">
        <f t="shared" si="0"/>
        <v>12.483333333333333</v>
      </c>
      <c r="AA22" s="26">
        <v>17</v>
      </c>
      <c r="AB22" s="27">
        <f>MAX(B22:Y22)</f>
        <v>12.79</v>
      </c>
      <c r="AC22" s="27">
        <f>MIN(B22:Y22)</f>
        <v>12.18</v>
      </c>
    </row>
    <row r="23" spans="1:29" ht="14.25" customHeight="1" x14ac:dyDescent="0.25">
      <c r="A23" s="23">
        <v>18</v>
      </c>
      <c r="B23" s="24">
        <f>[1]Jul18!B24</f>
        <v>12.17</v>
      </c>
      <c r="C23" s="24">
        <f>[1]Jul18!C24</f>
        <v>12.17</v>
      </c>
      <c r="D23" s="24">
        <f>[1]Jul18!D24</f>
        <v>12.17</v>
      </c>
      <c r="E23" s="24">
        <f>[1]Jul18!E24</f>
        <v>12.16</v>
      </c>
      <c r="F23" s="24">
        <f>[1]Jul18!F24</f>
        <v>12.14</v>
      </c>
      <c r="G23" s="24">
        <f>[1]Jul18!G24</f>
        <v>12.11</v>
      </c>
      <c r="H23" s="24">
        <f>[1]Jul18!H24</f>
        <v>12.08</v>
      </c>
      <c r="I23" s="24">
        <f>[1]Jul18!I24</f>
        <v>12.05</v>
      </c>
      <c r="J23" s="24">
        <f>[1]Jul18!J24</f>
        <v>12.03</v>
      </c>
      <c r="K23" s="24">
        <f>[1]Jul18!K24</f>
        <v>12.02</v>
      </c>
      <c r="L23" s="24">
        <f>[1]Jul18!L24</f>
        <v>12.01</v>
      </c>
      <c r="M23" s="24">
        <f>[1]Jul18!M24</f>
        <v>11.98</v>
      </c>
      <c r="N23" s="24">
        <f>[1]Jul18!N24</f>
        <v>11.97</v>
      </c>
      <c r="O23" s="24">
        <f>[1]Jul18!O24</f>
        <v>11.96</v>
      </c>
      <c r="P23" s="24">
        <f>[1]Jul18!P24</f>
        <v>11.95</v>
      </c>
      <c r="Q23" s="24">
        <f>[1]Jul18!Q24</f>
        <v>11.93</v>
      </c>
      <c r="R23" s="24">
        <f>[1]Jul18!R24</f>
        <v>11.92</v>
      </c>
      <c r="S23" s="24">
        <f>[1]Jul18!S24</f>
        <v>11.92</v>
      </c>
      <c r="T23" s="24">
        <f>[1]Jul18!T24</f>
        <v>11.9</v>
      </c>
      <c r="U23" s="24">
        <f>[1]Jul18!U24</f>
        <v>11.89</v>
      </c>
      <c r="V23" s="24">
        <f>[1]Jul18!V24</f>
        <v>11.89</v>
      </c>
      <c r="W23" s="24">
        <f>[1]Jul18!W24</f>
        <v>11.88</v>
      </c>
      <c r="X23" s="24">
        <f>[1]Jul18!X24</f>
        <v>11.86</v>
      </c>
      <c r="Y23" s="24">
        <f>[1]Jul18!Y24</f>
        <v>11.86</v>
      </c>
      <c r="Z23" s="25">
        <f t="shared" si="0"/>
        <v>12.000833333333333</v>
      </c>
      <c r="AA23" s="26">
        <v>18</v>
      </c>
      <c r="AB23" s="27">
        <f t="shared" si="1"/>
        <v>12.17</v>
      </c>
      <c r="AC23" s="27">
        <f t="shared" si="2"/>
        <v>11.86</v>
      </c>
    </row>
    <row r="24" spans="1:29" ht="14.25" customHeight="1" x14ac:dyDescent="0.25">
      <c r="A24" s="23">
        <v>19</v>
      </c>
      <c r="B24" s="24">
        <f>[1]Jul19!B24</f>
        <v>11.88</v>
      </c>
      <c r="C24" s="24">
        <f>[1]Jul19!C24</f>
        <v>11.89</v>
      </c>
      <c r="D24" s="24">
        <f>[1]Jul19!D24</f>
        <v>11.91</v>
      </c>
      <c r="E24" s="24">
        <f>[1]Jul19!E24</f>
        <v>11.92</v>
      </c>
      <c r="F24" s="24">
        <f>[1]Jul19!F24</f>
        <v>11.91</v>
      </c>
      <c r="G24" s="24">
        <f>[1]Jul19!G24</f>
        <v>11.9</v>
      </c>
      <c r="H24" s="24">
        <f>[1]Jul19!H24</f>
        <v>12.21</v>
      </c>
      <c r="I24" s="24">
        <f>[1]Jul19!I24</f>
        <v>12.22</v>
      </c>
      <c r="J24" s="24">
        <f>[1]Jul19!J24</f>
        <v>12.31</v>
      </c>
      <c r="K24" s="24">
        <f>[1]Jul19!K24</f>
        <v>12.17</v>
      </c>
      <c r="L24" s="24">
        <f>[1]Jul19!L24</f>
        <v>12.03</v>
      </c>
      <c r="M24" s="24">
        <f>[1]Jul19!M24</f>
        <v>11.94</v>
      </c>
      <c r="N24" s="24">
        <f>[1]Jul19!N24</f>
        <v>11.88</v>
      </c>
      <c r="O24" s="24">
        <f>[1]Jul19!O24</f>
        <v>11.84</v>
      </c>
      <c r="P24" s="24">
        <f>[1]Jul19!P24</f>
        <v>11.82</v>
      </c>
      <c r="Q24" s="24">
        <f>[1]Jul19!Q24</f>
        <v>11.81</v>
      </c>
      <c r="R24" s="24">
        <f>[1]Jul19!R24</f>
        <v>11.81</v>
      </c>
      <c r="S24" s="24">
        <f>[1]Jul19!S24</f>
        <v>11.81</v>
      </c>
      <c r="T24" s="24">
        <f>[1]Jul19!T24</f>
        <v>11.81</v>
      </c>
      <c r="U24" s="24">
        <f>[1]Jul19!U24</f>
        <v>11.81</v>
      </c>
      <c r="V24" s="24">
        <f>[1]Jul19!V24</f>
        <v>11.81</v>
      </c>
      <c r="W24" s="24">
        <f>[1]Jul19!W24</f>
        <v>11.81</v>
      </c>
      <c r="X24" s="24">
        <f>[1]Jul19!X24</f>
        <v>11.81</v>
      </c>
      <c r="Y24" s="24">
        <f>[1]Jul19!Y24</f>
        <v>11.81</v>
      </c>
      <c r="Z24" s="25">
        <f t="shared" si="0"/>
        <v>11.921666666666667</v>
      </c>
      <c r="AA24" s="26">
        <v>19</v>
      </c>
      <c r="AB24" s="27">
        <f t="shared" si="1"/>
        <v>12.31</v>
      </c>
      <c r="AC24" s="27">
        <f t="shared" si="2"/>
        <v>11.81</v>
      </c>
    </row>
    <row r="25" spans="1:29" ht="14.25" customHeight="1" x14ac:dyDescent="0.25">
      <c r="A25" s="23">
        <v>20</v>
      </c>
      <c r="B25" s="24">
        <f>[1]Jul20!B24</f>
        <v>11.81</v>
      </c>
      <c r="C25" s="24">
        <f>[1]Jul20!C24</f>
        <v>11.81</v>
      </c>
      <c r="D25" s="24">
        <f>[1]Jul20!D24</f>
        <v>11.81</v>
      </c>
      <c r="E25" s="24">
        <f>[1]Jul20!E24</f>
        <v>11.81</v>
      </c>
      <c r="F25" s="24">
        <f>[1]Jul20!F24</f>
        <v>11.82</v>
      </c>
      <c r="G25" s="24">
        <f>[1]Jul20!G24</f>
        <v>12.65</v>
      </c>
      <c r="H25" s="24">
        <f>[1]Jul20!H24</f>
        <v>12.73</v>
      </c>
      <c r="I25" s="24">
        <f>[1]Jul20!I24</f>
        <v>12.34</v>
      </c>
      <c r="J25" s="24">
        <f>[1]Jul20!J24</f>
        <v>12.05</v>
      </c>
      <c r="K25" s="24">
        <f>[1]Jul20!K24</f>
        <v>11.88</v>
      </c>
      <c r="L25" s="24">
        <f>[1]Jul20!L24</f>
        <v>11.82</v>
      </c>
      <c r="M25" s="24">
        <f>[1]Jul20!M24</f>
        <v>11.81</v>
      </c>
      <c r="N25" s="24">
        <f>[1]Jul20!N24</f>
        <v>11.81</v>
      </c>
      <c r="O25" s="24">
        <f>[1]Jul20!O24</f>
        <v>11.81</v>
      </c>
      <c r="P25" s="24">
        <f>[1]Jul20!P24</f>
        <v>11.81</v>
      </c>
      <c r="Q25" s="24">
        <f>[1]Jul20!Q24</f>
        <v>11.81</v>
      </c>
      <c r="R25" s="24">
        <f>[1]Jul20!R24</f>
        <v>11.81</v>
      </c>
      <c r="S25" s="24">
        <f>[1]Jul20!S24</f>
        <v>11.81</v>
      </c>
      <c r="T25" s="24">
        <f>[1]Jul20!T24</f>
        <v>11.81</v>
      </c>
      <c r="U25" s="24">
        <f>[1]Jul20!U24</f>
        <v>11.81</v>
      </c>
      <c r="V25" s="24">
        <f>[1]Jul20!V24</f>
        <v>11.81</v>
      </c>
      <c r="W25" s="24">
        <f>[1]Jul20!W24</f>
        <v>11.81</v>
      </c>
      <c r="X25" s="24">
        <f>[1]Jul20!X24</f>
        <v>11.81</v>
      </c>
      <c r="Y25" s="24">
        <f>[1]Jul20!Y24</f>
        <v>11.81</v>
      </c>
      <c r="Z25" s="25">
        <f t="shared" si="0"/>
        <v>11.919166666666667</v>
      </c>
      <c r="AA25" s="26">
        <v>20</v>
      </c>
      <c r="AB25" s="27">
        <f t="shared" si="1"/>
        <v>12.73</v>
      </c>
      <c r="AC25" s="27">
        <f t="shared" si="2"/>
        <v>11.81</v>
      </c>
    </row>
    <row r="26" spans="1:29" ht="14.25" customHeight="1" x14ac:dyDescent="0.25">
      <c r="A26" s="23">
        <v>21</v>
      </c>
      <c r="B26" s="24">
        <f>[1]Jul21!B24</f>
        <v>11.81</v>
      </c>
      <c r="C26" s="24">
        <f>[1]Jul21!C24</f>
        <v>11.81</v>
      </c>
      <c r="D26" s="24">
        <f>[1]Jul21!D24</f>
        <v>11.81</v>
      </c>
      <c r="E26" s="24">
        <f>[1]Jul21!E24</f>
        <v>11.81</v>
      </c>
      <c r="F26" s="24">
        <f>[1]Jul21!F24</f>
        <v>11.81</v>
      </c>
      <c r="G26" s="24">
        <f>[1]Jul21!G24</f>
        <v>11.81</v>
      </c>
      <c r="H26" s="24">
        <f>[1]Jul21!H24</f>
        <v>11.81</v>
      </c>
      <c r="I26" s="24">
        <f>[1]Jul21!I24</f>
        <v>11.81</v>
      </c>
      <c r="J26" s="24">
        <f>[1]Jul21!J24</f>
        <v>11.83</v>
      </c>
      <c r="K26" s="24">
        <f>[1]Jul21!K24</f>
        <v>11.86</v>
      </c>
      <c r="L26" s="24">
        <f>[1]Jul21!L24</f>
        <v>11.82</v>
      </c>
      <c r="M26" s="24">
        <f>[1]Jul21!M24</f>
        <v>11.81</v>
      </c>
      <c r="N26" s="24">
        <f>[1]Jul21!N24</f>
        <v>11.81</v>
      </c>
      <c r="O26" s="24">
        <f>[1]Jul21!O24</f>
        <v>11.81</v>
      </c>
      <c r="P26" s="24">
        <f>[1]Jul21!P24</f>
        <v>11.81</v>
      </c>
      <c r="Q26" s="24">
        <f>[1]Jul21!Q24</f>
        <v>11.81</v>
      </c>
      <c r="R26" s="24">
        <f>[1]Jul21!R24</f>
        <v>11.81</v>
      </c>
      <c r="S26" s="24">
        <f>[1]Jul21!S24</f>
        <v>11.81</v>
      </c>
      <c r="T26" s="24">
        <f>[1]Jul21!T24</f>
        <v>11.81</v>
      </c>
      <c r="U26" s="24">
        <f>[1]Jul21!U24</f>
        <v>11.81</v>
      </c>
      <c r="V26" s="24">
        <f>[1]Jul21!V24</f>
        <v>11.81</v>
      </c>
      <c r="W26" s="24">
        <f>[1]Jul21!W24</f>
        <v>11.81</v>
      </c>
      <c r="X26" s="24">
        <f>[1]Jul21!X24</f>
        <v>11.81</v>
      </c>
      <c r="Y26" s="24">
        <f>[1]Jul21!Y24</f>
        <v>11.81</v>
      </c>
      <c r="Z26" s="25">
        <f t="shared" si="0"/>
        <v>11.813333333333334</v>
      </c>
      <c r="AA26" s="26">
        <v>21</v>
      </c>
      <c r="AB26" s="27">
        <f t="shared" si="1"/>
        <v>11.86</v>
      </c>
      <c r="AC26" s="27">
        <f t="shared" si="2"/>
        <v>11.81</v>
      </c>
    </row>
    <row r="27" spans="1:29" ht="14.25" customHeight="1" x14ac:dyDescent="0.25">
      <c r="A27" s="23">
        <v>22</v>
      </c>
      <c r="B27" s="24">
        <f>[1]Jul22!B24</f>
        <v>11.81</v>
      </c>
      <c r="C27" s="24">
        <f>[1]Jul22!C24</f>
        <v>11.81</v>
      </c>
      <c r="D27" s="24">
        <f>[1]Jul22!D24</f>
        <v>11.81</v>
      </c>
      <c r="E27" s="24">
        <f>[1]Jul22!E24</f>
        <v>11.81</v>
      </c>
      <c r="F27" s="24">
        <f>[1]Jul22!F24</f>
        <v>11.81</v>
      </c>
      <c r="G27" s="24">
        <f>[1]Jul22!G24</f>
        <v>11.85</v>
      </c>
      <c r="H27" s="24">
        <f>[1]Jul22!H24</f>
        <v>11.91</v>
      </c>
      <c r="I27" s="24">
        <f>[1]Jul22!I24</f>
        <v>11.85</v>
      </c>
      <c r="J27" s="24">
        <f>[1]Jul22!J24</f>
        <v>11.88</v>
      </c>
      <c r="K27" s="24">
        <f>[1]Jul22!K24</f>
        <v>11.83</v>
      </c>
      <c r="L27" s="24">
        <f>[1]Jul22!L24</f>
        <v>11.82</v>
      </c>
      <c r="M27" s="24">
        <f>[1]Jul22!M24</f>
        <v>11.85</v>
      </c>
      <c r="N27" s="24">
        <f>[1]Jul22!N24</f>
        <v>11.82</v>
      </c>
      <c r="O27" s="24">
        <f>[1]Jul22!O24</f>
        <v>11.81</v>
      </c>
      <c r="P27" s="24">
        <f>[1]Jul22!P24</f>
        <v>11.81</v>
      </c>
      <c r="Q27" s="24">
        <f>[1]Jul22!Q24</f>
        <v>11.81</v>
      </c>
      <c r="R27" s="24">
        <f>[1]Jul22!R24</f>
        <v>11.81</v>
      </c>
      <c r="S27" s="24">
        <f>[1]Jul22!S24</f>
        <v>11.81</v>
      </c>
      <c r="T27" s="24">
        <f>[1]Jul22!T24</f>
        <v>11.81</v>
      </c>
      <c r="U27" s="24">
        <f>[1]Jul22!U24</f>
        <v>11.81</v>
      </c>
      <c r="V27" s="24">
        <f>[1]Jul22!V24</f>
        <v>11.81</v>
      </c>
      <c r="W27" s="24">
        <f>[1]Jul22!W24</f>
        <v>11.81</v>
      </c>
      <c r="X27" s="24">
        <f>[1]Jul22!X24</f>
        <v>11.8</v>
      </c>
      <c r="Y27" s="24">
        <f>[1]Jul22!Y24</f>
        <v>11.81</v>
      </c>
      <c r="Z27" s="25">
        <f t="shared" si="0"/>
        <v>11.823333333333332</v>
      </c>
      <c r="AA27" s="26">
        <v>22</v>
      </c>
      <c r="AB27" s="27">
        <f t="shared" si="1"/>
        <v>11.91</v>
      </c>
      <c r="AC27" s="27">
        <f t="shared" si="2"/>
        <v>11.8</v>
      </c>
    </row>
    <row r="28" spans="1:29" ht="14.25" customHeight="1" x14ac:dyDescent="0.25">
      <c r="A28" s="23">
        <v>23</v>
      </c>
      <c r="B28" s="24">
        <f>[1]Jul23!B24</f>
        <v>11.81</v>
      </c>
      <c r="C28" s="24">
        <f>[1]Jul23!C24</f>
        <v>11.81</v>
      </c>
      <c r="D28" s="24">
        <f>[1]Jul23!D24</f>
        <v>11.81</v>
      </c>
      <c r="E28" s="24">
        <f>[1]Jul23!E24</f>
        <v>11.81</v>
      </c>
      <c r="F28" s="24">
        <f>[1]Jul23!F24</f>
        <v>11.81</v>
      </c>
      <c r="G28" s="24">
        <f>[1]Jul23!G24</f>
        <v>11.81</v>
      </c>
      <c r="H28" s="24">
        <f>[1]Jul23!H24</f>
        <v>11.81</v>
      </c>
      <c r="I28" s="24">
        <f>[1]Jul23!I24</f>
        <v>11.81</v>
      </c>
      <c r="J28" s="24">
        <f>[1]Jul23!J24</f>
        <v>11.81</v>
      </c>
      <c r="K28" s="24">
        <f>[1]Jul23!K24</f>
        <v>11.81</v>
      </c>
      <c r="L28" s="24">
        <f>[1]Jul23!L24</f>
        <v>11.81</v>
      </c>
      <c r="M28" s="24">
        <f>[1]Jul23!M24</f>
        <v>11.81</v>
      </c>
      <c r="N28" s="24">
        <f>[1]Jul23!N24</f>
        <v>11.81</v>
      </c>
      <c r="O28" s="24">
        <f>[1]Jul23!O24</f>
        <v>11.85</v>
      </c>
      <c r="P28" s="24">
        <f>[1]Jul23!P24</f>
        <v>12.06</v>
      </c>
      <c r="Q28" s="24">
        <f>[1]Jul23!Q24</f>
        <v>12.21</v>
      </c>
      <c r="R28" s="24">
        <f>[1]Jul23!R24</f>
        <v>12.17</v>
      </c>
      <c r="S28" s="24">
        <f>[1]Jul23!S24</f>
        <v>12.1</v>
      </c>
      <c r="T28" s="24">
        <f>[1]Jul23!T24</f>
        <v>12.04</v>
      </c>
      <c r="U28" s="24">
        <f>[1]Jul23!U24</f>
        <v>12.14</v>
      </c>
      <c r="V28" s="24">
        <f>[1]Jul23!V24</f>
        <v>12.26</v>
      </c>
      <c r="W28" s="24">
        <f>[1]Jul23!W24</f>
        <v>12.3</v>
      </c>
      <c r="X28" s="24">
        <f>[1]Jul23!X24</f>
        <v>12.29</v>
      </c>
      <c r="Y28" s="24">
        <f>[1]Jul23!Y24</f>
        <v>12.26</v>
      </c>
      <c r="Z28" s="25">
        <f t="shared" si="0"/>
        <v>11.967083333333333</v>
      </c>
      <c r="AA28" s="26">
        <v>23</v>
      </c>
      <c r="AB28" s="27">
        <f t="shared" si="1"/>
        <v>12.3</v>
      </c>
      <c r="AC28" s="27">
        <f t="shared" si="2"/>
        <v>11.81</v>
      </c>
    </row>
    <row r="29" spans="1:29" ht="14.25" customHeight="1" x14ac:dyDescent="0.25">
      <c r="A29" s="23">
        <v>24</v>
      </c>
      <c r="B29" s="24">
        <f>[1]Jul24!B24</f>
        <v>12.22</v>
      </c>
      <c r="C29" s="24">
        <f>[1]Jul24!C24</f>
        <v>12.17</v>
      </c>
      <c r="D29" s="24">
        <f>[1]Jul24!D24</f>
        <v>12.12</v>
      </c>
      <c r="E29" s="24">
        <f>[1]Jul24!E24</f>
        <v>12.09</v>
      </c>
      <c r="F29" s="24">
        <f>[1]Jul24!F24</f>
        <v>12.05</v>
      </c>
      <c r="G29" s="24">
        <f>[1]Jul24!G24</f>
        <v>12.03</v>
      </c>
      <c r="H29" s="24">
        <f>[1]Jul24!H24</f>
        <v>12</v>
      </c>
      <c r="I29" s="24">
        <f>[1]Jul24!I24</f>
        <v>11.97</v>
      </c>
      <c r="J29" s="24">
        <f>[1]Jul24!J24</f>
        <v>11.94</v>
      </c>
      <c r="K29" s="24">
        <f>[1]Jul24!K24</f>
        <v>11.92</v>
      </c>
      <c r="L29" s="24">
        <f>[1]Jul24!L24</f>
        <v>11.9</v>
      </c>
      <c r="M29" s="24">
        <f>[1]Jul24!M24</f>
        <v>11.9</v>
      </c>
      <c r="N29" s="24">
        <f>[1]Jul24!N24</f>
        <v>12</v>
      </c>
      <c r="O29" s="24">
        <f>[1]Jul24!O24</f>
        <v>12.27</v>
      </c>
      <c r="P29" s="24">
        <f>[1]Jul24!P24</f>
        <v>12.54</v>
      </c>
      <c r="Q29" s="24">
        <f>[1]Jul24!Q24</f>
        <v>12.73</v>
      </c>
      <c r="R29" s="24">
        <f>[1]Jul24!R24</f>
        <v>13.32</v>
      </c>
      <c r="S29" s="24">
        <f>[1]Jul24!S24</f>
        <v>13.61</v>
      </c>
      <c r="T29" s="24">
        <f>[1]Jul24!T24</f>
        <v>13.16</v>
      </c>
      <c r="U29" s="24">
        <f>[1]Jul24!U24</f>
        <v>13.6</v>
      </c>
      <c r="V29" s="24">
        <f>[1]Jul24!V24</f>
        <v>13.42</v>
      </c>
      <c r="W29" s="24">
        <f>[1]Jul24!W24</f>
        <v>13.25</v>
      </c>
      <c r="X29" s="24">
        <f>[1]Jul24!X24</f>
        <v>13.02</v>
      </c>
      <c r="Y29" s="24">
        <f>[1]Jul24!Y24</f>
        <v>12.85</v>
      </c>
      <c r="Z29" s="25">
        <f t="shared" si="0"/>
        <v>12.503333333333332</v>
      </c>
      <c r="AA29" s="26">
        <v>24</v>
      </c>
      <c r="AB29" s="27">
        <f t="shared" si="1"/>
        <v>13.61</v>
      </c>
      <c r="AC29" s="27">
        <f>MIN(B29:Y29)</f>
        <v>11.9</v>
      </c>
    </row>
    <row r="30" spans="1:29" ht="14.25" customHeight="1" x14ac:dyDescent="0.25">
      <c r="A30" s="23">
        <v>25</v>
      </c>
      <c r="B30" s="24">
        <f>[1]Jul25!B24</f>
        <v>12.72</v>
      </c>
      <c r="C30" s="24">
        <f>[1]Jul25!C24</f>
        <v>12.57</v>
      </c>
      <c r="D30" s="24">
        <f>[1]Jul25!D24</f>
        <v>12.5</v>
      </c>
      <c r="E30" s="24">
        <f>[1]Jul25!E24</f>
        <v>12.41</v>
      </c>
      <c r="F30" s="24">
        <f>[1]Jul25!F24</f>
        <v>12.35</v>
      </c>
      <c r="G30" s="24">
        <f>[1]Jul25!G24</f>
        <v>12.28</v>
      </c>
      <c r="H30" s="24">
        <f>[1]Jul25!H24</f>
        <v>12.24</v>
      </c>
      <c r="I30" s="24">
        <f>[1]Jul25!I24</f>
        <v>12.2</v>
      </c>
      <c r="J30" s="24">
        <f>[1]Jul25!J24</f>
        <v>12.12</v>
      </c>
      <c r="K30" s="24">
        <f>[1]Jul25!K24</f>
        <v>12.1</v>
      </c>
      <c r="L30" s="24">
        <f>[1]Jul25!L24</f>
        <v>12.1</v>
      </c>
      <c r="M30" s="24">
        <f>[1]Jul25!M24</f>
        <v>12.08</v>
      </c>
      <c r="N30" s="24">
        <f>[1]Jul25!N24</f>
        <v>12.06</v>
      </c>
      <c r="O30" s="24">
        <f>[1]Jul25!O24</f>
        <v>12.08</v>
      </c>
      <c r="P30" s="24">
        <f>[1]Jul25!P24</f>
        <v>12.09</v>
      </c>
      <c r="Q30" s="24">
        <f>[1]Jul25!Q24</f>
        <v>12.09</v>
      </c>
      <c r="R30" s="24">
        <f>[1]Jul25!R24</f>
        <v>12.18</v>
      </c>
      <c r="S30" s="24">
        <f>[1]Jul25!S24</f>
        <v>12.64</v>
      </c>
      <c r="T30" s="24">
        <f>[1]Jul25!T24</f>
        <v>12.74</v>
      </c>
      <c r="U30" s="24">
        <f>[1]Jul25!U24</f>
        <v>13.24</v>
      </c>
      <c r="V30" s="24">
        <f>[1]Jul25!V24</f>
        <v>13.32</v>
      </c>
      <c r="W30" s="24">
        <f>[1]Jul25!W24</f>
        <v>13.29</v>
      </c>
      <c r="X30" s="24">
        <f>[1]Jul25!X24</f>
        <v>13.22</v>
      </c>
      <c r="Y30" s="24">
        <f>[1]Jul25!Y24</f>
        <v>13.25</v>
      </c>
      <c r="Z30" s="25">
        <f t="shared" si="0"/>
        <v>12.494583333333338</v>
      </c>
      <c r="AA30" s="26">
        <v>25</v>
      </c>
      <c r="AB30" s="27">
        <f t="shared" si="1"/>
        <v>13.32</v>
      </c>
      <c r="AC30" s="27">
        <f t="shared" si="2"/>
        <v>12.06</v>
      </c>
    </row>
    <row r="31" spans="1:29" ht="14.25" customHeight="1" x14ac:dyDescent="0.25">
      <c r="A31" s="23">
        <v>26</v>
      </c>
      <c r="B31" s="24">
        <f>[1]Jul26!B24</f>
        <v>13.32</v>
      </c>
      <c r="C31" s="24">
        <f>[1]Jul26!C24</f>
        <v>13.37</v>
      </c>
      <c r="D31" s="24">
        <f>[1]Jul26!D24</f>
        <v>13.39</v>
      </c>
      <c r="E31" s="24">
        <f>[1]Jul26!E24</f>
        <v>13.39</v>
      </c>
      <c r="F31" s="24">
        <f>[1]Jul26!F24</f>
        <v>13.37</v>
      </c>
      <c r="G31" s="24">
        <f>[1]Jul26!G24</f>
        <v>13.3</v>
      </c>
      <c r="H31" s="24">
        <f>[1]Jul26!H24</f>
        <v>13.26</v>
      </c>
      <c r="I31" s="24">
        <f>[1]Jul26!I24</f>
        <v>13.27</v>
      </c>
      <c r="J31" s="24">
        <f>[1]Jul26!J24</f>
        <v>13.29</v>
      </c>
      <c r="K31" s="24">
        <f>[1]Jul26!K24</f>
        <v>13.41</v>
      </c>
      <c r="L31" s="24">
        <f>[1]Jul26!L24</f>
        <v>13.41</v>
      </c>
      <c r="M31" s="24">
        <f>[1]Jul26!M24</f>
        <v>13.37</v>
      </c>
      <c r="N31" s="24">
        <f>[1]Jul26!N24</f>
        <v>13.37</v>
      </c>
      <c r="O31" s="24">
        <f>[1]Jul26!O24</f>
        <v>13.57</v>
      </c>
      <c r="P31" s="24">
        <f>[1]Jul26!P24</f>
        <v>14.01</v>
      </c>
      <c r="Q31" s="24">
        <f>[1]Jul26!Q24</f>
        <v>14.04</v>
      </c>
      <c r="R31" s="24">
        <f>[1]Jul26!R24</f>
        <v>14.34</v>
      </c>
      <c r="S31" s="24">
        <f>[1]Jul26!S24</f>
        <v>14.51</v>
      </c>
      <c r="T31" s="24">
        <f>[1]Jul26!T24</f>
        <v>14.61</v>
      </c>
      <c r="U31" s="24">
        <f>[1]Jul26!U24</f>
        <v>14.72</v>
      </c>
      <c r="V31" s="24">
        <f>[1]Jul26!V24</f>
        <v>14.86</v>
      </c>
      <c r="W31" s="24">
        <f>[1]Jul26!W24</f>
        <v>15.12</v>
      </c>
      <c r="X31" s="24">
        <f>[1]Jul26!X24</f>
        <v>15.27</v>
      </c>
      <c r="Y31" s="24">
        <f>[1]Jul26!Y24</f>
        <v>15.36</v>
      </c>
      <c r="Z31" s="25">
        <f t="shared" si="0"/>
        <v>13.91375</v>
      </c>
      <c r="AA31" s="26">
        <v>26</v>
      </c>
      <c r="AB31" s="27">
        <f t="shared" si="1"/>
        <v>15.36</v>
      </c>
      <c r="AC31" s="27">
        <f>MIN(B31:Y31)</f>
        <v>13.26</v>
      </c>
    </row>
    <row r="32" spans="1:29" ht="14.25" customHeight="1" x14ac:dyDescent="0.25">
      <c r="A32" s="23">
        <v>27</v>
      </c>
      <c r="B32" s="24">
        <f>[1]Jul27!B24</f>
        <v>15.63</v>
      </c>
      <c r="C32" s="24">
        <f>[1]Jul27!C24</f>
        <v>15.78</v>
      </c>
      <c r="D32" s="24">
        <f>[1]Jul27!D24</f>
        <v>15.86</v>
      </c>
      <c r="E32" s="24">
        <f>[1]Jul27!E24</f>
        <v>15.92</v>
      </c>
      <c r="F32" s="24">
        <f>[1]Jul27!F24</f>
        <v>15.89</v>
      </c>
      <c r="G32" s="24">
        <f>[1]Jul27!G24</f>
        <v>15.78</v>
      </c>
      <c r="H32" s="24">
        <f>[1]Jul27!H24</f>
        <v>15.75</v>
      </c>
      <c r="I32" s="24">
        <f>[1]Jul27!I24</f>
        <v>15.63</v>
      </c>
      <c r="J32" s="24">
        <f>[1]Jul27!J24</f>
        <v>15.46</v>
      </c>
      <c r="K32" s="24">
        <f>[1]Jul27!K24</f>
        <v>15.32</v>
      </c>
      <c r="L32" s="24">
        <f>[1]Jul27!L24</f>
        <v>15.15</v>
      </c>
      <c r="M32" s="24">
        <f>[1]Jul27!M24</f>
        <v>15</v>
      </c>
      <c r="N32" s="24">
        <f>[1]Jul27!N24</f>
        <v>14.89</v>
      </c>
      <c r="O32" s="24">
        <f>[1]Jul27!O24</f>
        <v>14.76</v>
      </c>
      <c r="P32" s="24">
        <f>[1]Jul27!P24</f>
        <v>14.64</v>
      </c>
      <c r="Q32" s="24">
        <f>[1]Jul27!Q24</f>
        <v>14.59</v>
      </c>
      <c r="R32" s="24">
        <f>[1]Jul27!R24</f>
        <v>14.51</v>
      </c>
      <c r="S32" s="24">
        <f>[1]Jul27!S24</f>
        <v>14.44</v>
      </c>
      <c r="T32" s="24">
        <f>[1]Jul27!T24</f>
        <v>14.43</v>
      </c>
      <c r="U32" s="24">
        <f>[1]Jul27!U24</f>
        <v>14.51</v>
      </c>
      <c r="V32" s="24">
        <f>[1]Jul27!V24</f>
        <v>14.78</v>
      </c>
      <c r="W32" s="24">
        <f>[1]Jul27!W24</f>
        <v>14.78</v>
      </c>
      <c r="X32" s="24">
        <f>[1]Jul27!X24</f>
        <v>14.76</v>
      </c>
      <c r="Y32" s="24">
        <f>[1]Jul27!Y24</f>
        <v>14.7</v>
      </c>
      <c r="Z32" s="25">
        <f t="shared" si="0"/>
        <v>15.12333333333333</v>
      </c>
      <c r="AA32" s="26">
        <v>27</v>
      </c>
      <c r="AB32" s="27">
        <f t="shared" si="1"/>
        <v>15.92</v>
      </c>
      <c r="AC32" s="27">
        <f t="shared" si="2"/>
        <v>14.43</v>
      </c>
    </row>
    <row r="33" spans="1:29" ht="14.25" customHeight="1" x14ac:dyDescent="0.25">
      <c r="A33" s="23">
        <v>28</v>
      </c>
      <c r="B33" s="24">
        <f>[1]Jul28!B24</f>
        <v>14.71</v>
      </c>
      <c r="C33" s="24">
        <f>[1]Jul28!C24</f>
        <v>14.66</v>
      </c>
      <c r="D33" s="24">
        <f>[1]Jul28!D24</f>
        <v>14.71</v>
      </c>
      <c r="E33" s="24">
        <f>[1]Jul28!E24</f>
        <v>14.73</v>
      </c>
      <c r="F33" s="24">
        <f>[1]Jul28!F24</f>
        <v>14.67</v>
      </c>
      <c r="G33" s="24">
        <f>[1]Jul28!G24</f>
        <v>14.6</v>
      </c>
      <c r="H33" s="24">
        <f>[1]Jul28!H24</f>
        <v>14.51</v>
      </c>
      <c r="I33" s="24">
        <f>[1]Jul28!I24</f>
        <v>14.43</v>
      </c>
      <c r="J33" s="24">
        <f>[1]Jul28!J24</f>
        <v>14.38</v>
      </c>
      <c r="K33" s="24">
        <f>[1]Jul28!K24</f>
        <v>14.37</v>
      </c>
      <c r="L33" s="24">
        <f>[1]Jul28!L24</f>
        <v>14.34</v>
      </c>
      <c r="M33" s="24">
        <f>[1]Jul28!M24</f>
        <v>14.35</v>
      </c>
      <c r="N33" s="24">
        <f>[1]Jul28!N24</f>
        <v>14.45</v>
      </c>
      <c r="O33" s="24">
        <f>[1]Jul28!O24</f>
        <v>14.73</v>
      </c>
      <c r="P33" s="24">
        <f>[1]Jul28!P24</f>
        <v>14.92</v>
      </c>
      <c r="Q33" s="24">
        <f>[1]Jul28!Q24</f>
        <v>14.94</v>
      </c>
      <c r="R33" s="24">
        <f>[1]Jul28!R24</f>
        <v>14.88</v>
      </c>
      <c r="S33" s="24">
        <f>[1]Jul28!S24</f>
        <v>14.79</v>
      </c>
      <c r="T33" s="24">
        <f>[1]Jul28!T24</f>
        <v>14.72</v>
      </c>
      <c r="U33" s="24">
        <f>[1]Jul28!U24</f>
        <v>14.67</v>
      </c>
      <c r="V33" s="24">
        <f>[1]Jul28!V24</f>
        <v>14.61</v>
      </c>
      <c r="W33" s="24">
        <f>[1]Jul28!W24</f>
        <v>14.52</v>
      </c>
      <c r="X33" s="24">
        <f>[1]Jul28!X24</f>
        <v>14.43</v>
      </c>
      <c r="Y33" s="24">
        <f>[1]Jul28!Y24</f>
        <v>14.34</v>
      </c>
      <c r="Z33" s="25">
        <f t="shared" si="0"/>
        <v>14.602499999999999</v>
      </c>
      <c r="AA33" s="26">
        <v>28</v>
      </c>
      <c r="AB33" s="27">
        <f t="shared" si="1"/>
        <v>14.94</v>
      </c>
      <c r="AC33" s="27">
        <f t="shared" si="2"/>
        <v>14.34</v>
      </c>
    </row>
    <row r="34" spans="1:29" ht="14.25" customHeight="1" x14ac:dyDescent="0.25">
      <c r="A34" s="23">
        <v>29</v>
      </c>
      <c r="B34" s="24">
        <f>[1]Jul29!B24</f>
        <v>14.25</v>
      </c>
      <c r="C34" s="24">
        <f>[1]Jul29!C24</f>
        <v>14.14</v>
      </c>
      <c r="D34" s="24">
        <f>[1]Jul29!D24</f>
        <v>14.06</v>
      </c>
      <c r="E34" s="24">
        <f>[1]Jul29!E24</f>
        <v>13.98</v>
      </c>
      <c r="F34" s="24">
        <f>[1]Jul29!F24</f>
        <v>13.96</v>
      </c>
      <c r="G34" s="24">
        <f>[1]Jul29!G24</f>
        <v>14.17</v>
      </c>
      <c r="H34" s="24">
        <f>[1]Jul29!H24</f>
        <v>14.57</v>
      </c>
      <c r="I34" s="24">
        <f>[1]Jul29!I24</f>
        <v>14.75</v>
      </c>
      <c r="J34" s="24">
        <f>[1]Jul29!J24</f>
        <v>14.83</v>
      </c>
      <c r="K34" s="24">
        <f>[1]Jul29!K24</f>
        <v>15.44</v>
      </c>
      <c r="L34" s="24">
        <f>[1]Jul29!L24</f>
        <v>15.92</v>
      </c>
      <c r="M34" s="24">
        <f>[1]Jul29!M24</f>
        <v>16.36</v>
      </c>
      <c r="N34" s="24">
        <f>[1]Jul29!N24</f>
        <v>16.62</v>
      </c>
      <c r="O34" s="24">
        <f>[1]Jul29!O24</f>
        <v>16.66</v>
      </c>
      <c r="P34" s="24">
        <f>[1]Jul29!P24</f>
        <v>16.600000000000001</v>
      </c>
      <c r="Q34" s="24">
        <f>[1]Jul29!Q24</f>
        <v>16.510000000000002</v>
      </c>
      <c r="R34" s="24">
        <f>[1]Jul29!R24</f>
        <v>16.47</v>
      </c>
      <c r="S34" s="24">
        <f>[1]Jul29!S24</f>
        <v>16.38</v>
      </c>
      <c r="T34" s="24">
        <f>[1]Jul29!T24</f>
        <v>16.22</v>
      </c>
      <c r="U34" s="24">
        <f>[1]Jul29!U24</f>
        <v>16.04</v>
      </c>
      <c r="V34" s="24">
        <f>[1]Jul29!V24</f>
        <v>15.87</v>
      </c>
      <c r="W34" s="24">
        <f>[1]Jul29!W24</f>
        <v>15.75</v>
      </c>
      <c r="X34" s="24">
        <f>[1]Jul29!X24</f>
        <v>15.58</v>
      </c>
      <c r="Y34" s="24">
        <f>[1]Jul29!Y24</f>
        <v>15.55</v>
      </c>
      <c r="Z34" s="25">
        <f t="shared" si="0"/>
        <v>15.445</v>
      </c>
      <c r="AA34" s="26">
        <v>29</v>
      </c>
      <c r="AB34" s="27">
        <f t="shared" si="1"/>
        <v>16.66</v>
      </c>
      <c r="AC34" s="27">
        <f t="shared" si="2"/>
        <v>13.96</v>
      </c>
    </row>
    <row r="35" spans="1:29" ht="14.25" customHeight="1" x14ac:dyDescent="0.25">
      <c r="A35" s="23">
        <v>30</v>
      </c>
      <c r="B35" s="24">
        <f>[1]Jul30!B24</f>
        <v>15.46</v>
      </c>
      <c r="C35" s="24">
        <f>[1]Jul30!C24</f>
        <v>15.26</v>
      </c>
      <c r="D35" s="24">
        <f>[1]Jul30!D24</f>
        <v>15.06</v>
      </c>
      <c r="E35" s="24">
        <f>[1]Jul30!E24</f>
        <v>14.88</v>
      </c>
      <c r="F35" s="24">
        <f>[1]Jul30!F24</f>
        <v>14.12</v>
      </c>
      <c r="G35" s="24">
        <f>[1]Jul30!G24</f>
        <v>14.61</v>
      </c>
      <c r="H35" s="24">
        <f>[1]Jul30!H24</f>
        <v>14.5</v>
      </c>
      <c r="I35" s="24">
        <f>[1]Jul30!I24</f>
        <v>14.39</v>
      </c>
      <c r="J35" s="24">
        <f>[1]Jul30!J24</f>
        <v>14.89</v>
      </c>
      <c r="K35" s="24">
        <f>[1]Jul30!K24</f>
        <v>14.17</v>
      </c>
      <c r="L35" s="24">
        <f>[1]Jul30!L24</f>
        <v>14.09</v>
      </c>
      <c r="M35" s="24">
        <f>[1]Jul30!M24</f>
        <v>14.03</v>
      </c>
      <c r="N35" s="24">
        <f>[1]Jul30!N24</f>
        <v>13.97</v>
      </c>
      <c r="O35" s="24">
        <f>[1]Jul30!O24</f>
        <v>13.93</v>
      </c>
      <c r="P35" s="24">
        <f>[1]Jul30!P24</f>
        <v>13.89</v>
      </c>
      <c r="Q35" s="24">
        <f>[1]Jul30!Q24</f>
        <v>13.84</v>
      </c>
      <c r="R35" s="24">
        <f>[1]Jul30!R24</f>
        <v>13.78</v>
      </c>
      <c r="S35" s="24">
        <f>[1]Jul30!S24</f>
        <v>12.75</v>
      </c>
      <c r="T35" s="24">
        <f>[1]Jul30!T24</f>
        <v>13.74</v>
      </c>
      <c r="U35" s="24">
        <f>[1]Jul30!U24</f>
        <v>13.7</v>
      </c>
      <c r="V35" s="24">
        <f>[1]Jul30!V24</f>
        <v>13.71</v>
      </c>
      <c r="W35" s="24">
        <f>[1]Jul30!W24</f>
        <v>13.68</v>
      </c>
      <c r="X35" s="24">
        <f>[1]Jul30!X24</f>
        <v>13.92</v>
      </c>
      <c r="Y35" s="24">
        <f>[1]Jul30!Y24</f>
        <v>14.08</v>
      </c>
      <c r="Z35" s="25">
        <f t="shared" si="0"/>
        <v>14.185416666666667</v>
      </c>
      <c r="AA35" s="26">
        <v>30</v>
      </c>
      <c r="AB35" s="27">
        <f t="shared" si="1"/>
        <v>15.46</v>
      </c>
      <c r="AC35" s="27">
        <f>MIN(B35:Y35)</f>
        <v>12.75</v>
      </c>
    </row>
    <row r="36" spans="1:29" ht="14.25" customHeight="1" x14ac:dyDescent="0.25">
      <c r="A36" s="23">
        <v>31</v>
      </c>
      <c r="B36" s="24">
        <f>[1]Jul31!B24</f>
        <v>14.06</v>
      </c>
      <c r="C36" s="24">
        <f>[1]Jul31!C24</f>
        <v>14.09</v>
      </c>
      <c r="D36" s="24">
        <f>[1]Jul31!D24</f>
        <v>14.03</v>
      </c>
      <c r="E36" s="24">
        <f>[1]Jul31!E24</f>
        <v>13.96</v>
      </c>
      <c r="F36" s="24">
        <f>[1]Jul31!F24</f>
        <v>13.89</v>
      </c>
      <c r="G36" s="24">
        <f>[1]Jul31!G24</f>
        <v>13.91</v>
      </c>
      <c r="H36" s="24">
        <f>[1]Jul31!H24</f>
        <v>14.14</v>
      </c>
      <c r="I36" s="24">
        <f>[1]Jul31!I24</f>
        <v>14.16</v>
      </c>
      <c r="J36" s="24">
        <f>[1]Jul31!J24</f>
        <v>14.14</v>
      </c>
      <c r="K36" s="24">
        <f>[1]Jul31!K24</f>
        <v>14.14</v>
      </c>
      <c r="L36" s="24">
        <f>[1]Jul31!L24</f>
        <v>14.21</v>
      </c>
      <c r="M36" s="24">
        <f>[1]Jul31!M24</f>
        <v>14.21</v>
      </c>
      <c r="N36" s="24">
        <f>[1]Jul31!N24</f>
        <v>14.19</v>
      </c>
      <c r="O36" s="24">
        <f>[1]Jul31!O24</f>
        <v>14.15</v>
      </c>
      <c r="P36" s="24">
        <f>[1]Jul31!P24</f>
        <v>14.08</v>
      </c>
      <c r="Q36" s="24">
        <f>[1]Jul31!Q24</f>
        <v>14.01</v>
      </c>
      <c r="R36" s="24">
        <f>[1]Jul31!R24</f>
        <v>13.94</v>
      </c>
      <c r="S36" s="24">
        <f>[1]Jul31!S24</f>
        <v>13.85</v>
      </c>
      <c r="T36" s="24">
        <f>[1]Jul31!T24</f>
        <v>13.78</v>
      </c>
      <c r="U36" s="24">
        <f>[1]Jul31!U24</f>
        <v>13.7</v>
      </c>
      <c r="V36" s="24">
        <f>[1]Jul31!V24</f>
        <v>13.64</v>
      </c>
      <c r="W36" s="24">
        <f>[1]Jul31!W24</f>
        <v>13.65</v>
      </c>
      <c r="X36" s="24">
        <f>[1]Jul31!X24</f>
        <v>13.67</v>
      </c>
      <c r="Y36" s="24">
        <f>[1]Jul31!Y24</f>
        <v>13.74</v>
      </c>
      <c r="Z36" s="25">
        <f t="shared" si="0"/>
        <v>13.972499999999998</v>
      </c>
      <c r="AA36" s="26">
        <v>31</v>
      </c>
      <c r="AB36" s="27">
        <f t="shared" si="1"/>
        <v>14.21</v>
      </c>
      <c r="AC36" s="27">
        <f t="shared" si="2"/>
        <v>13.64</v>
      </c>
    </row>
    <row r="37" spans="1:29" ht="14.25" customHeight="1" x14ac:dyDescent="0.2">
      <c r="A37" s="23" t="s">
        <v>9</v>
      </c>
      <c r="B37" s="24"/>
      <c r="C37" s="24"/>
      <c r="D37" s="24"/>
      <c r="E37" s="24"/>
      <c r="F37" s="24"/>
      <c r="G37" s="24"/>
      <c r="H37" s="24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25">
        <f>AVERAGE(Z6:Z36)</f>
        <v>12.548401881720432</v>
      </c>
      <c r="AA37" s="17"/>
      <c r="AB37" s="17"/>
      <c r="AC37" s="17"/>
    </row>
    <row r="38" spans="1:29" ht="14.25" customHeight="1" x14ac:dyDescent="0.2">
      <c r="A38" s="23" t="s">
        <v>13</v>
      </c>
      <c r="B38" s="31"/>
      <c r="C38" s="31"/>
      <c r="D38" s="31"/>
      <c r="E38" s="32">
        <f>AVERAGE(E6:E36)</f>
        <v>12.486129032258065</v>
      </c>
      <c r="F38" s="31"/>
      <c r="G38" s="31"/>
      <c r="H38" s="31"/>
      <c r="I38" s="33"/>
      <c r="J38" s="33">
        <f>AVERAGE(J6:J36)</f>
        <v>12.480645161290322</v>
      </c>
      <c r="K38" s="33"/>
      <c r="L38" s="33"/>
      <c r="M38" s="33"/>
      <c r="N38" s="33"/>
      <c r="O38" s="33"/>
      <c r="P38" s="33"/>
      <c r="Q38" s="33"/>
      <c r="R38" s="33"/>
      <c r="S38" s="31"/>
      <c r="T38" s="31"/>
      <c r="U38" s="31"/>
      <c r="V38" s="31"/>
      <c r="W38" s="31"/>
      <c r="X38" s="31"/>
      <c r="Y38" s="32">
        <f>AVERAGE(Y6:Y36)</f>
        <v>12.610032258064516</v>
      </c>
      <c r="Z38" s="25">
        <f>AVERAGE(E38,J38,Y38)</f>
        <v>12.525602150537635</v>
      </c>
      <c r="AA38" s="34" t="s">
        <v>14</v>
      </c>
      <c r="AB38" s="35">
        <f>AVERAGE(AB6:AB36)</f>
        <v>12.975161290322582</v>
      </c>
      <c r="AC38" s="35">
        <f>AVERAGE(AC6:AC36)</f>
        <v>12.243870967741934</v>
      </c>
    </row>
    <row r="39" spans="1:29" x14ac:dyDescent="0.2">
      <c r="B39" s="36" t="s">
        <v>15</v>
      </c>
    </row>
  </sheetData>
  <mergeCells count="6">
    <mergeCell ref="A1:Z1"/>
    <mergeCell ref="AE1:AP1"/>
    <mergeCell ref="AA2:AC2"/>
    <mergeCell ref="AE2:AP2"/>
    <mergeCell ref="Y3:Z3"/>
    <mergeCell ref="AE3:AP3"/>
  </mergeCells>
  <printOptions horizontalCentered="1"/>
  <pageMargins left="0.75" right="0.75" top="0.5" bottom="0.25" header="0.25" footer="0.25"/>
  <pageSetup paperSize="9" scale="82" orientation="landscape" horizontalDpi="300" verticalDpi="300" r:id="rId1"/>
  <headerFooter alignWithMargins="0"/>
  <colBreaks count="1" manualBreakCount="1">
    <brk id="2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STO.NINO</vt:lpstr>
      <vt:lpstr>STO.NINO!Print_Area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2024-08-06T06:03:47Z</dcterms:created>
  <dcterms:modified xsi:type="dcterms:W3CDTF">2024-08-06T06:03:54Z</dcterms:modified>
</cp:coreProperties>
</file>