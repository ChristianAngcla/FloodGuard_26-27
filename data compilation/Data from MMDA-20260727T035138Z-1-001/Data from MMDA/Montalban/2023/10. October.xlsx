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3\Waterlevel\Montalban 2023\"/>
    </mc:Choice>
  </mc:AlternateContent>
  <xr:revisionPtr revIDLastSave="0" documentId="13_ncr:1_{4A19143E-02A3-4C2F-8A8F-DE6B4A701B29}" xr6:coauthVersionLast="47" xr6:coauthVersionMax="47" xr10:uidLastSave="{00000000-0000-0000-0000-000000000000}"/>
  <bookViews>
    <workbookView xWindow="-120" yWindow="-120" windowWidth="29040" windowHeight="15720" xr2:uid="{0606A16A-9DB8-4D42-8094-84DD1D389CA6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7" i="1" s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C23" i="1" s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C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C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C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AB6" i="1" s="1"/>
  <c r="B6" i="1"/>
  <c r="Z6" i="1" s="1"/>
  <c r="Z37" i="1" l="1"/>
  <c r="AB18" i="1"/>
  <c r="AC6" i="1"/>
  <c r="Z7" i="1"/>
  <c r="Z11" i="1"/>
  <c r="Z15" i="1"/>
  <c r="Z19" i="1"/>
  <c r="Z23" i="1"/>
  <c r="Z27" i="1"/>
  <c r="Z31" i="1"/>
  <c r="Z35" i="1"/>
  <c r="AB10" i="1"/>
  <c r="AB7" i="1"/>
  <c r="AB11" i="1"/>
  <c r="AB15" i="1"/>
  <c r="AB19" i="1"/>
  <c r="AB31" i="1"/>
  <c r="AB35" i="1"/>
  <c r="AC34" i="1"/>
  <c r="AB14" i="1"/>
  <c r="AC26" i="1"/>
  <c r="Z8" i="1"/>
  <c r="Z12" i="1"/>
  <c r="Z16" i="1"/>
  <c r="Z20" i="1"/>
  <c r="Z24" i="1"/>
  <c r="Z28" i="1"/>
  <c r="Z32" i="1"/>
  <c r="AC22" i="1"/>
  <c r="AB8" i="1"/>
  <c r="AB12" i="1"/>
  <c r="AB16" i="1"/>
  <c r="AB20" i="1"/>
  <c r="AB24" i="1"/>
  <c r="AB28" i="1"/>
  <c r="AB32" i="1"/>
  <c r="AC30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7" i="1" l="1"/>
  <c r="Z36" i="1"/>
  <c r="AC37" i="1"/>
</calcChain>
</file>

<file path=xl/sharedStrings.xml><?xml version="1.0" encoding="utf-8"?>
<sst xmlns="http://schemas.openxmlformats.org/spreadsheetml/2006/main" count="19" uniqueCount="17">
  <si>
    <t>FORM 2-1  HOURLY  WATERLEVEL CHART</t>
  </si>
  <si>
    <t>RECORDED DAILY HIGHEST AND LOWEST WATER ELEVATION</t>
  </si>
  <si>
    <t>October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</si>
  <si>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</si>
  <si>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</si>
  <si>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</si>
  <si>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</si>
  <si>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</si>
  <si>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October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</si>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</sst>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30C058B5-A581-48D8-A97C-4A2B287B0CB5}"/>
    <cellStyle name="Normal" xfId="0" builtinId="0"/>
    <cellStyle name="Normal 2" xfId="1" xr:uid="{EAADFE56-FEE7-4479-97DF-BB73D53AB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21.8</c:v>
                </c:pt>
                <c:pt idx="1">
                  <c:v>21.81</c:v>
                </c:pt>
                <c:pt idx="2">
                  <c:v>22.09</c:v>
                </c:pt>
                <c:pt idx="3">
                  <c:v>22.19</c:v>
                </c:pt>
                <c:pt idx="4">
                  <c:v>22.34</c:v>
                </c:pt>
                <c:pt idx="5">
                  <c:v>21.99</c:v>
                </c:pt>
                <c:pt idx="6">
                  <c:v>21.73</c:v>
                </c:pt>
                <c:pt idx="7">
                  <c:v>22.02</c:v>
                </c:pt>
                <c:pt idx="8">
                  <c:v>21.63</c:v>
                </c:pt>
                <c:pt idx="9">
                  <c:v>21.59</c:v>
                </c:pt>
                <c:pt idx="10">
                  <c:v>21.58</c:v>
                </c:pt>
                <c:pt idx="11">
                  <c:v>21.58</c:v>
                </c:pt>
                <c:pt idx="12">
                  <c:v>21.58</c:v>
                </c:pt>
                <c:pt idx="13">
                  <c:v>21.95</c:v>
                </c:pt>
                <c:pt idx="14">
                  <c:v>21.58</c:v>
                </c:pt>
                <c:pt idx="15">
                  <c:v>21.58</c:v>
                </c:pt>
                <c:pt idx="16">
                  <c:v>21.58</c:v>
                </c:pt>
                <c:pt idx="17">
                  <c:v>21.58</c:v>
                </c:pt>
                <c:pt idx="18">
                  <c:v>22.31</c:v>
                </c:pt>
                <c:pt idx="19">
                  <c:v>22.12</c:v>
                </c:pt>
                <c:pt idx="20">
                  <c:v>21.75</c:v>
                </c:pt>
                <c:pt idx="21">
                  <c:v>21.6</c:v>
                </c:pt>
                <c:pt idx="22">
                  <c:v>21.58</c:v>
                </c:pt>
                <c:pt idx="23">
                  <c:v>21.58</c:v>
                </c:pt>
                <c:pt idx="24">
                  <c:v>21.57</c:v>
                </c:pt>
                <c:pt idx="25">
                  <c:v>21.57</c:v>
                </c:pt>
                <c:pt idx="26">
                  <c:v>21.57</c:v>
                </c:pt>
                <c:pt idx="27">
                  <c:v>21.57</c:v>
                </c:pt>
                <c:pt idx="28">
                  <c:v>21.57</c:v>
                </c:pt>
                <c:pt idx="29">
                  <c:v>21.57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8-4D2F-B3ED-DE8F267DE79A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21.62</c:v>
                </c:pt>
                <c:pt idx="1">
                  <c:v>21.6</c:v>
                </c:pt>
                <c:pt idx="2">
                  <c:v>21.71</c:v>
                </c:pt>
                <c:pt idx="3">
                  <c:v>21.71</c:v>
                </c:pt>
                <c:pt idx="4">
                  <c:v>21.72</c:v>
                </c:pt>
                <c:pt idx="5">
                  <c:v>12.76</c:v>
                </c:pt>
                <c:pt idx="6">
                  <c:v>21.64</c:v>
                </c:pt>
                <c:pt idx="7">
                  <c:v>21.62</c:v>
                </c:pt>
                <c:pt idx="8">
                  <c:v>21.6</c:v>
                </c:pt>
                <c:pt idx="9">
                  <c:v>21.58</c:v>
                </c:pt>
                <c:pt idx="10">
                  <c:v>21.58</c:v>
                </c:pt>
                <c:pt idx="11">
                  <c:v>21.58</c:v>
                </c:pt>
                <c:pt idx="12">
                  <c:v>21.58</c:v>
                </c:pt>
                <c:pt idx="13">
                  <c:v>21.58</c:v>
                </c:pt>
                <c:pt idx="14">
                  <c:v>21.547999999999998</c:v>
                </c:pt>
                <c:pt idx="15">
                  <c:v>21.58</c:v>
                </c:pt>
                <c:pt idx="16">
                  <c:v>21.57</c:v>
                </c:pt>
                <c:pt idx="17">
                  <c:v>21.57</c:v>
                </c:pt>
                <c:pt idx="18">
                  <c:v>21.57</c:v>
                </c:pt>
                <c:pt idx="19">
                  <c:v>21.59</c:v>
                </c:pt>
                <c:pt idx="20">
                  <c:v>21.6</c:v>
                </c:pt>
                <c:pt idx="21">
                  <c:v>21.58</c:v>
                </c:pt>
                <c:pt idx="22">
                  <c:v>21.58</c:v>
                </c:pt>
                <c:pt idx="23">
                  <c:v>21.57</c:v>
                </c:pt>
                <c:pt idx="24">
                  <c:v>21.57</c:v>
                </c:pt>
                <c:pt idx="25">
                  <c:v>21.57</c:v>
                </c:pt>
                <c:pt idx="26">
                  <c:v>21.57</c:v>
                </c:pt>
                <c:pt idx="27">
                  <c:v>21.57</c:v>
                </c:pt>
                <c:pt idx="28">
                  <c:v>21.57</c:v>
                </c:pt>
                <c:pt idx="29">
                  <c:v>21.57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8-4D2F-B3ED-DE8F267DE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2A180E4-F903-4294-82CA-F6F03301C0F5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D32A265-DB5B-41F5-B124-31ADB7B1370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6661F1B-FB23-488C-9047-4FD3E03768F8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8F637C-2A6F-4FC6-A64F-70F01B92C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547FE0-A451-4863-93E0-59FA0D1A7BAE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2F3C48-8D54-481F-AB6E-597CDE920A2D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EFCOS%20FILES/1.%20Rainfall%20and%20Waterlevel%20Data%20Sheet/1994%20to%202023/2023/Monthly/10.%20OCTO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 1"/>
      <sheetName val="OCT 2"/>
      <sheetName val="OCT 3"/>
      <sheetName val="OCT 4"/>
      <sheetName val="OCT 5"/>
      <sheetName val="OCT 6"/>
      <sheetName val="OCT 7"/>
      <sheetName val="OCT 8"/>
      <sheetName val="OCT 9"/>
      <sheetName val="OCT 10"/>
      <sheetName val="OCT 11"/>
      <sheetName val="OCT 12"/>
      <sheetName val="OCT 13"/>
      <sheetName val="OCT 14"/>
      <sheetName val="OCT 15"/>
      <sheetName val="OCT 16"/>
      <sheetName val="OCT 17"/>
      <sheetName val="OCT 18"/>
      <sheetName val="OCT 19"/>
      <sheetName val="OCT 20"/>
      <sheetName val="OCT 21"/>
      <sheetName val="OCT 22"/>
      <sheetName val="OCT 23"/>
      <sheetName val="OCT 24"/>
      <sheetName val="OCT 25"/>
      <sheetName val="OCT 26"/>
      <sheetName val="OCT 27"/>
      <sheetName val="OCT 28"/>
      <sheetName val="OCT 29"/>
      <sheetName val="OCT 30"/>
      <sheetName val="OCT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21.75</v>
          </cell>
          <cell r="C22">
            <v>21.74</v>
          </cell>
          <cell r="D22">
            <v>21.74</v>
          </cell>
          <cell r="E22">
            <v>21.73</v>
          </cell>
          <cell r="F22">
            <v>21.72</v>
          </cell>
          <cell r="G22">
            <v>21.71</v>
          </cell>
          <cell r="H22">
            <v>21.7</v>
          </cell>
          <cell r="I22">
            <v>21.69</v>
          </cell>
          <cell r="J22">
            <v>21.8</v>
          </cell>
          <cell r="K22">
            <v>21.67</v>
          </cell>
          <cell r="L22">
            <v>21.65</v>
          </cell>
          <cell r="M22">
            <v>21.65</v>
          </cell>
          <cell r="N22">
            <v>21.65</v>
          </cell>
          <cell r="O22">
            <v>21.65</v>
          </cell>
          <cell r="P22">
            <v>21.65</v>
          </cell>
          <cell r="Q22">
            <v>21.65</v>
          </cell>
          <cell r="R22">
            <v>21.64</v>
          </cell>
          <cell r="S22">
            <v>21.64</v>
          </cell>
          <cell r="T22">
            <v>21.64</v>
          </cell>
          <cell r="U22">
            <v>21.63</v>
          </cell>
          <cell r="V22">
            <v>21.63</v>
          </cell>
          <cell r="W22">
            <v>21.63</v>
          </cell>
          <cell r="X22">
            <v>21.63</v>
          </cell>
          <cell r="Y22">
            <v>21.62</v>
          </cell>
        </row>
      </sheetData>
      <sheetData sheetId="1">
        <row r="22">
          <cell r="B22">
            <v>21.62</v>
          </cell>
          <cell r="C22">
            <v>21.62</v>
          </cell>
          <cell r="D22">
            <v>21.62</v>
          </cell>
          <cell r="E22">
            <v>21.62</v>
          </cell>
          <cell r="F22">
            <v>21.62</v>
          </cell>
          <cell r="G22">
            <v>21.61</v>
          </cell>
          <cell r="H22">
            <v>21.61</v>
          </cell>
          <cell r="I22">
            <v>21.61</v>
          </cell>
          <cell r="J22">
            <v>21.61</v>
          </cell>
          <cell r="K22">
            <v>21.61</v>
          </cell>
          <cell r="L22">
            <v>21.61</v>
          </cell>
          <cell r="M22">
            <v>21.61</v>
          </cell>
          <cell r="N22">
            <v>21.61</v>
          </cell>
          <cell r="O22">
            <v>21.6</v>
          </cell>
          <cell r="P22">
            <v>21.6</v>
          </cell>
          <cell r="Q22">
            <v>21.6</v>
          </cell>
          <cell r="R22">
            <v>21.6</v>
          </cell>
          <cell r="S22">
            <v>21.81</v>
          </cell>
          <cell r="T22">
            <v>21.74</v>
          </cell>
          <cell r="U22">
            <v>21.73</v>
          </cell>
          <cell r="V22">
            <v>21.73</v>
          </cell>
          <cell r="W22">
            <v>21.73</v>
          </cell>
          <cell r="X22">
            <v>21.73</v>
          </cell>
          <cell r="Y22">
            <v>21.74</v>
          </cell>
        </row>
      </sheetData>
      <sheetData sheetId="2">
        <row r="22">
          <cell r="B22">
            <v>21.73</v>
          </cell>
          <cell r="C22">
            <v>21.73</v>
          </cell>
          <cell r="D22">
            <v>21.73</v>
          </cell>
          <cell r="E22">
            <v>21.73</v>
          </cell>
          <cell r="F22">
            <v>21.73</v>
          </cell>
          <cell r="G22">
            <v>21.72</v>
          </cell>
          <cell r="H22">
            <v>21.71</v>
          </cell>
          <cell r="I22">
            <v>21.71</v>
          </cell>
          <cell r="J22">
            <v>21.75</v>
          </cell>
          <cell r="K22">
            <v>21.73</v>
          </cell>
          <cell r="L22">
            <v>21.73</v>
          </cell>
          <cell r="M22">
            <v>21.72</v>
          </cell>
          <cell r="N22">
            <v>21.72</v>
          </cell>
          <cell r="O22">
            <v>21.71</v>
          </cell>
          <cell r="P22">
            <v>21.71</v>
          </cell>
          <cell r="Q22">
            <v>21.71</v>
          </cell>
          <cell r="R22">
            <v>21.71</v>
          </cell>
          <cell r="S22">
            <v>21.75</v>
          </cell>
          <cell r="T22">
            <v>21.82</v>
          </cell>
          <cell r="U22">
            <v>21.97</v>
          </cell>
          <cell r="V22">
            <v>21.98</v>
          </cell>
          <cell r="W22">
            <v>21.96</v>
          </cell>
          <cell r="X22">
            <v>22.01</v>
          </cell>
          <cell r="Y22">
            <v>22.09</v>
          </cell>
        </row>
      </sheetData>
      <sheetData sheetId="3">
        <row r="22">
          <cell r="B22">
            <v>22.18</v>
          </cell>
          <cell r="C22">
            <v>22.19</v>
          </cell>
          <cell r="D22">
            <v>22.14</v>
          </cell>
          <cell r="E22">
            <v>22.09</v>
          </cell>
          <cell r="F22">
            <v>22.04</v>
          </cell>
          <cell r="G22">
            <v>21.99</v>
          </cell>
          <cell r="H22">
            <v>21.96</v>
          </cell>
          <cell r="I22">
            <v>21.93</v>
          </cell>
          <cell r="J22">
            <v>21.9</v>
          </cell>
          <cell r="K22">
            <v>21.88</v>
          </cell>
          <cell r="L22">
            <v>21.86</v>
          </cell>
          <cell r="M22">
            <v>21.85</v>
          </cell>
          <cell r="N22">
            <v>21.82</v>
          </cell>
          <cell r="O22">
            <v>21.8</v>
          </cell>
          <cell r="P22">
            <v>21.78</v>
          </cell>
          <cell r="Q22">
            <v>21.76</v>
          </cell>
          <cell r="R22">
            <v>21.75</v>
          </cell>
          <cell r="S22">
            <v>21.71</v>
          </cell>
          <cell r="T22">
            <v>21.74</v>
          </cell>
          <cell r="U22">
            <v>21.74</v>
          </cell>
          <cell r="V22">
            <v>21.74</v>
          </cell>
          <cell r="W22">
            <v>21.74</v>
          </cell>
          <cell r="X22">
            <v>21.73</v>
          </cell>
          <cell r="Y22">
            <v>21.73</v>
          </cell>
        </row>
      </sheetData>
      <sheetData sheetId="4">
        <row r="22">
          <cell r="B22">
            <v>21.73</v>
          </cell>
          <cell r="C22">
            <v>21.73</v>
          </cell>
          <cell r="D22">
            <v>21.72</v>
          </cell>
          <cell r="E22">
            <v>21.72</v>
          </cell>
          <cell r="F22">
            <v>21.72</v>
          </cell>
          <cell r="G22">
            <v>22.02</v>
          </cell>
          <cell r="H22">
            <v>22.23</v>
          </cell>
          <cell r="I22">
            <v>22.32</v>
          </cell>
          <cell r="J22">
            <v>22.34</v>
          </cell>
          <cell r="K22">
            <v>22.21</v>
          </cell>
          <cell r="L22">
            <v>22.21</v>
          </cell>
          <cell r="M22">
            <v>22.28</v>
          </cell>
          <cell r="N22">
            <v>22.26</v>
          </cell>
          <cell r="O22">
            <v>22.17</v>
          </cell>
          <cell r="P22">
            <v>22.09</v>
          </cell>
          <cell r="Q22">
            <v>22.03</v>
          </cell>
          <cell r="R22">
            <v>21.99</v>
          </cell>
          <cell r="S22">
            <v>21.95</v>
          </cell>
          <cell r="T22">
            <v>21.99</v>
          </cell>
          <cell r="U22">
            <v>22.04</v>
          </cell>
          <cell r="V22">
            <v>22.07</v>
          </cell>
          <cell r="W22">
            <v>22.07</v>
          </cell>
          <cell r="X22">
            <v>22.04</v>
          </cell>
          <cell r="Y22">
            <v>21.99</v>
          </cell>
        </row>
      </sheetData>
      <sheetData sheetId="5">
        <row r="22">
          <cell r="B22">
            <v>21.99</v>
          </cell>
          <cell r="C22">
            <v>21.96</v>
          </cell>
          <cell r="D22">
            <v>21.94</v>
          </cell>
          <cell r="E22">
            <v>21.91</v>
          </cell>
          <cell r="F22">
            <v>21.88</v>
          </cell>
          <cell r="G22">
            <v>21.87</v>
          </cell>
          <cell r="H22">
            <v>21.84</v>
          </cell>
          <cell r="I22">
            <v>21.82</v>
          </cell>
          <cell r="J22">
            <v>21.81</v>
          </cell>
          <cell r="K22">
            <v>21.8</v>
          </cell>
          <cell r="L22">
            <v>21.79</v>
          </cell>
          <cell r="M22">
            <v>21.78</v>
          </cell>
          <cell r="N22">
            <v>21.78</v>
          </cell>
          <cell r="O22">
            <v>21.78</v>
          </cell>
          <cell r="P22">
            <v>21.78</v>
          </cell>
          <cell r="Q22">
            <v>21.78</v>
          </cell>
          <cell r="R22">
            <v>21.77</v>
          </cell>
          <cell r="S22">
            <v>21.77</v>
          </cell>
          <cell r="T22">
            <v>21.76</v>
          </cell>
          <cell r="U22">
            <v>12.76</v>
          </cell>
          <cell r="V22">
            <v>21.75</v>
          </cell>
          <cell r="W22">
            <v>21.75</v>
          </cell>
          <cell r="X22">
            <v>21.74</v>
          </cell>
          <cell r="Y22">
            <v>21.74</v>
          </cell>
        </row>
      </sheetData>
      <sheetData sheetId="6">
        <row r="22">
          <cell r="B22">
            <v>21.73</v>
          </cell>
          <cell r="C22">
            <v>21.72</v>
          </cell>
          <cell r="D22">
            <v>21.72</v>
          </cell>
          <cell r="E22">
            <v>21.71</v>
          </cell>
          <cell r="F22">
            <v>21.71</v>
          </cell>
          <cell r="G22">
            <v>21.7</v>
          </cell>
          <cell r="H22">
            <v>21.7</v>
          </cell>
          <cell r="I22">
            <v>21.7</v>
          </cell>
          <cell r="J22">
            <v>21.69</v>
          </cell>
          <cell r="K22">
            <v>21.69</v>
          </cell>
          <cell r="L22">
            <v>21.68</v>
          </cell>
          <cell r="M22">
            <v>21.67</v>
          </cell>
          <cell r="N22">
            <v>21.67</v>
          </cell>
          <cell r="O22">
            <v>21.67</v>
          </cell>
          <cell r="P22">
            <v>21.66</v>
          </cell>
          <cell r="Q22">
            <v>21.66</v>
          </cell>
          <cell r="R22">
            <v>21.66</v>
          </cell>
          <cell r="S22">
            <v>21.66</v>
          </cell>
          <cell r="T22">
            <v>21.65</v>
          </cell>
          <cell r="U22">
            <v>21.65</v>
          </cell>
          <cell r="V22">
            <v>21.65</v>
          </cell>
          <cell r="W22">
            <v>21.64</v>
          </cell>
          <cell r="X22">
            <v>21.64</v>
          </cell>
          <cell r="Y22">
            <v>21.64</v>
          </cell>
        </row>
      </sheetData>
      <sheetData sheetId="7">
        <row r="22">
          <cell r="B22">
            <v>21.64</v>
          </cell>
          <cell r="C22">
            <v>21.63</v>
          </cell>
          <cell r="D22">
            <v>21.63</v>
          </cell>
          <cell r="E22">
            <v>21.63</v>
          </cell>
          <cell r="F22">
            <v>21.63</v>
          </cell>
          <cell r="G22">
            <v>21.62</v>
          </cell>
          <cell r="H22">
            <v>21.62</v>
          </cell>
          <cell r="I22">
            <v>21.62</v>
          </cell>
          <cell r="J22">
            <v>22.02</v>
          </cell>
          <cell r="K22">
            <v>21.79</v>
          </cell>
          <cell r="L22">
            <v>21.78</v>
          </cell>
          <cell r="M22">
            <v>21.77</v>
          </cell>
          <cell r="N22">
            <v>21.76</v>
          </cell>
          <cell r="O22">
            <v>21.74</v>
          </cell>
          <cell r="P22">
            <v>21.73</v>
          </cell>
          <cell r="Q22">
            <v>21.71</v>
          </cell>
          <cell r="R22">
            <v>21.7</v>
          </cell>
          <cell r="S22">
            <v>21.68</v>
          </cell>
          <cell r="T22">
            <v>21.67</v>
          </cell>
          <cell r="U22">
            <v>21.67</v>
          </cell>
          <cell r="V22">
            <v>21.65</v>
          </cell>
          <cell r="W22">
            <v>21.65</v>
          </cell>
          <cell r="X22">
            <v>21.64</v>
          </cell>
          <cell r="Y22">
            <v>21.64</v>
          </cell>
        </row>
      </sheetData>
      <sheetData sheetId="8">
        <row r="22">
          <cell r="B22">
            <v>21.63</v>
          </cell>
          <cell r="C22">
            <v>21.63</v>
          </cell>
          <cell r="D22">
            <v>21.63</v>
          </cell>
          <cell r="E22">
            <v>21.62</v>
          </cell>
          <cell r="F22">
            <v>21.62</v>
          </cell>
          <cell r="G22">
            <v>21.62</v>
          </cell>
          <cell r="H22">
            <v>21.62</v>
          </cell>
          <cell r="I22">
            <v>21.62</v>
          </cell>
          <cell r="J22">
            <v>21.61</v>
          </cell>
          <cell r="K22">
            <v>21.61</v>
          </cell>
          <cell r="L22">
            <v>21.61</v>
          </cell>
          <cell r="M22">
            <v>21.61</v>
          </cell>
          <cell r="N22">
            <v>21.61</v>
          </cell>
          <cell r="O22">
            <v>21.61</v>
          </cell>
          <cell r="P22">
            <v>21.61</v>
          </cell>
          <cell r="Q22">
            <v>21.6</v>
          </cell>
          <cell r="R22">
            <v>21.6</v>
          </cell>
          <cell r="S22">
            <v>21.6</v>
          </cell>
          <cell r="T22">
            <v>21.6</v>
          </cell>
          <cell r="U22">
            <v>21.6</v>
          </cell>
          <cell r="V22">
            <v>21.6</v>
          </cell>
          <cell r="W22">
            <v>21.6</v>
          </cell>
          <cell r="X22">
            <v>21.6</v>
          </cell>
          <cell r="Y22">
            <v>21.6</v>
          </cell>
        </row>
      </sheetData>
      <sheetData sheetId="9">
        <row r="22">
          <cell r="B22">
            <v>21.59</v>
          </cell>
          <cell r="C22">
            <v>21.59</v>
          </cell>
          <cell r="D22">
            <v>21.59</v>
          </cell>
          <cell r="E22">
            <v>21.59</v>
          </cell>
          <cell r="F22">
            <v>21.59</v>
          </cell>
          <cell r="G22">
            <v>21.59</v>
          </cell>
          <cell r="H22">
            <v>21.59</v>
          </cell>
          <cell r="I22">
            <v>21.59</v>
          </cell>
          <cell r="J22">
            <v>21.59</v>
          </cell>
          <cell r="K22">
            <v>21.59</v>
          </cell>
          <cell r="L22">
            <v>21.59</v>
          </cell>
          <cell r="M22">
            <v>21.59</v>
          </cell>
          <cell r="N22">
            <v>21.59</v>
          </cell>
          <cell r="O22">
            <v>21.59</v>
          </cell>
          <cell r="P22">
            <v>21.59</v>
          </cell>
          <cell r="Q22">
            <v>21.59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10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21.58</v>
          </cell>
          <cell r="O22">
            <v>21.58</v>
          </cell>
          <cell r="P22">
            <v>21.58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11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 t="str">
            <v>**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21.58</v>
          </cell>
          <cell r="O22">
            <v>21.58</v>
          </cell>
          <cell r="P22">
            <v>21.58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12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21.58</v>
          </cell>
          <cell r="O22">
            <v>21.58</v>
          </cell>
          <cell r="P22">
            <v>21.58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13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21.95</v>
          </cell>
          <cell r="J22">
            <v>21.76</v>
          </cell>
          <cell r="K22">
            <v>21.73</v>
          </cell>
          <cell r="L22">
            <v>21.7</v>
          </cell>
          <cell r="M22">
            <v>21.68</v>
          </cell>
          <cell r="N22">
            <v>21.67</v>
          </cell>
          <cell r="O22">
            <v>21.65</v>
          </cell>
          <cell r="P22">
            <v>21.64</v>
          </cell>
          <cell r="Q22">
            <v>21.63</v>
          </cell>
          <cell r="R22">
            <v>21.63</v>
          </cell>
          <cell r="S22">
            <v>21.62</v>
          </cell>
          <cell r="T22">
            <v>21.61</v>
          </cell>
          <cell r="U22">
            <v>21.6</v>
          </cell>
          <cell r="V22">
            <v>21.59</v>
          </cell>
          <cell r="W22">
            <v>21.59</v>
          </cell>
          <cell r="X22">
            <v>21.59</v>
          </cell>
          <cell r="Y22">
            <v>21.58</v>
          </cell>
        </row>
      </sheetData>
      <sheetData sheetId="14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21.547999999999998</v>
          </cell>
          <cell r="O22">
            <v>21.58</v>
          </cell>
          <cell r="P22">
            <v>21.58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15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21.58</v>
          </cell>
          <cell r="O22">
            <v>21.58</v>
          </cell>
          <cell r="P22">
            <v>21.58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16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21.58</v>
          </cell>
          <cell r="O22">
            <v>21.58</v>
          </cell>
          <cell r="P22">
            <v>21.58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21.57</v>
          </cell>
          <cell r="Y22">
            <v>21.57</v>
          </cell>
        </row>
      </sheetData>
      <sheetData sheetId="17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21.58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18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21.63</v>
          </cell>
          <cell r="G22">
            <v>22.3</v>
          </cell>
          <cell r="H22">
            <v>22.31</v>
          </cell>
          <cell r="I22">
            <v>22.18</v>
          </cell>
          <cell r="J22">
            <v>22.12</v>
          </cell>
          <cell r="K22">
            <v>22.12</v>
          </cell>
          <cell r="L22">
            <v>22.1</v>
          </cell>
          <cell r="M22">
            <v>22.01</v>
          </cell>
          <cell r="N22">
            <v>21.91</v>
          </cell>
          <cell r="O22">
            <v>21.84</v>
          </cell>
          <cell r="P22">
            <v>21.78</v>
          </cell>
          <cell r="Q22">
            <v>21.76</v>
          </cell>
          <cell r="R22">
            <v>21.76</v>
          </cell>
          <cell r="S22">
            <v>21.75</v>
          </cell>
          <cell r="T22">
            <v>21.74</v>
          </cell>
          <cell r="U22">
            <v>21.72</v>
          </cell>
          <cell r="V22">
            <v>21.7</v>
          </cell>
          <cell r="W22">
            <v>21.69</v>
          </cell>
          <cell r="X22">
            <v>21.67</v>
          </cell>
          <cell r="Y22">
            <v>21.66</v>
          </cell>
        </row>
      </sheetData>
      <sheetData sheetId="19">
        <row r="22">
          <cell r="B22">
            <v>21.65</v>
          </cell>
          <cell r="C22">
            <v>21.64</v>
          </cell>
          <cell r="D22">
            <v>21.63</v>
          </cell>
          <cell r="E22">
            <v>21.63</v>
          </cell>
          <cell r="F22">
            <v>21.62</v>
          </cell>
          <cell r="G22">
            <v>21.61</v>
          </cell>
          <cell r="H22">
            <v>21.61</v>
          </cell>
          <cell r="I22">
            <v>21.6</v>
          </cell>
          <cell r="J22">
            <v>21.6</v>
          </cell>
          <cell r="K22">
            <v>21.59</v>
          </cell>
          <cell r="L22">
            <v>21.86</v>
          </cell>
          <cell r="M22">
            <v>22.12</v>
          </cell>
          <cell r="N22">
            <v>22.11</v>
          </cell>
          <cell r="O22">
            <v>21.92</v>
          </cell>
          <cell r="P22">
            <v>21.77</v>
          </cell>
          <cell r="Q22">
            <v>21.76</v>
          </cell>
          <cell r="R22">
            <v>21.75</v>
          </cell>
          <cell r="S22">
            <v>21.75</v>
          </cell>
          <cell r="T22">
            <v>21.74</v>
          </cell>
          <cell r="U22">
            <v>21.73</v>
          </cell>
          <cell r="V22">
            <v>21.78</v>
          </cell>
          <cell r="W22">
            <v>21.76</v>
          </cell>
          <cell r="X22">
            <v>21.76</v>
          </cell>
          <cell r="Y22">
            <v>21.76</v>
          </cell>
        </row>
      </sheetData>
      <sheetData sheetId="20">
        <row r="22">
          <cell r="B22">
            <v>21.75</v>
          </cell>
          <cell r="C22">
            <v>21.75</v>
          </cell>
          <cell r="D22">
            <v>21.74</v>
          </cell>
          <cell r="E22">
            <v>21.73</v>
          </cell>
          <cell r="F22">
            <v>21.73</v>
          </cell>
          <cell r="G22">
            <v>21.72</v>
          </cell>
          <cell r="H22">
            <v>21.72</v>
          </cell>
          <cell r="I22">
            <v>21.71</v>
          </cell>
          <cell r="J22">
            <v>21.7</v>
          </cell>
          <cell r="K22">
            <v>21.69</v>
          </cell>
          <cell r="L22">
            <v>21.68</v>
          </cell>
          <cell r="M22">
            <v>21.67</v>
          </cell>
          <cell r="N22">
            <v>21.66</v>
          </cell>
          <cell r="O22">
            <v>21.66</v>
          </cell>
          <cell r="P22">
            <v>21.65</v>
          </cell>
          <cell r="Q22">
            <v>21.65</v>
          </cell>
          <cell r="R22">
            <v>21.64</v>
          </cell>
          <cell r="S22">
            <v>21.63</v>
          </cell>
          <cell r="T22">
            <v>21.63</v>
          </cell>
          <cell r="U22">
            <v>21.62</v>
          </cell>
          <cell r="V22">
            <v>21.62</v>
          </cell>
          <cell r="W22">
            <v>21.61</v>
          </cell>
          <cell r="X22">
            <v>21.61</v>
          </cell>
          <cell r="Y22">
            <v>21.6</v>
          </cell>
        </row>
      </sheetData>
      <sheetData sheetId="21">
        <row r="22">
          <cell r="B22">
            <v>21.6</v>
          </cell>
          <cell r="C22">
            <v>21.59</v>
          </cell>
          <cell r="D22">
            <v>21.59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21.58</v>
          </cell>
          <cell r="O22">
            <v>21.58</v>
          </cell>
          <cell r="P22">
            <v>21.59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  <cell r="Y22">
            <v>21.58</v>
          </cell>
        </row>
      </sheetData>
      <sheetData sheetId="22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21.58</v>
          </cell>
          <cell r="N22">
            <v>21.58</v>
          </cell>
          <cell r="O22">
            <v>21.58</v>
          </cell>
          <cell r="P22">
            <v>21.58</v>
          </cell>
          <cell r="Q22">
            <v>21.58</v>
          </cell>
          <cell r="R22">
            <v>21.58</v>
          </cell>
          <cell r="S22">
            <v>21.58</v>
          </cell>
          <cell r="T22">
            <v>21.58</v>
          </cell>
          <cell r="U22">
            <v>21.58</v>
          </cell>
          <cell r="V22">
            <v>21.58</v>
          </cell>
          <cell r="W22">
            <v>21.58</v>
          </cell>
          <cell r="X22">
            <v>21.58</v>
          </cell>
        </row>
      </sheetData>
      <sheetData sheetId="23">
        <row r="22">
          <cell r="B22">
            <v>21.58</v>
          </cell>
          <cell r="C22">
            <v>21.58</v>
          </cell>
          <cell r="D22">
            <v>21.58</v>
          </cell>
          <cell r="E22">
            <v>21.58</v>
          </cell>
          <cell r="F22">
            <v>21.58</v>
          </cell>
          <cell r="G22">
            <v>21.58</v>
          </cell>
          <cell r="H22">
            <v>21.58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24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25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26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27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28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29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 t="str">
            <v>**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7717-BC88-47E8-986E-19D84E1CC745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5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2"/>
      <c r="AC1" s="3"/>
      <c r="AE1" s="32" t="s">
        <v>1</v>
      </c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 spans="1:42" ht="23.25" x14ac:dyDescent="0.2">
      <c r="AA2" s="33" t="s">
        <v>2</v>
      </c>
      <c r="AB2" s="34"/>
      <c r="AC2" s="35"/>
      <c r="AE2" s="32" t="s">
        <v>3</v>
      </c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6">
        <v>2023</v>
      </c>
      <c r="Z3" s="37"/>
      <c r="AA3" s="7"/>
      <c r="AB3" s="8"/>
      <c r="AC3" s="9"/>
      <c r="AE3" s="32" t="s">
        <v>8</v>
      </c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'[1]OCT 1'!B22</f>
        <v>21.75</v>
      </c>
      <c r="C6" s="17">
        <f>'[1]OCT 1'!C22</f>
        <v>21.74</v>
      </c>
      <c r="D6" s="17">
        <f>'[1]OCT 1'!D22</f>
        <v>21.74</v>
      </c>
      <c r="E6" s="17">
        <f>'[1]OCT 1'!E22</f>
        <v>21.73</v>
      </c>
      <c r="F6" s="17">
        <f>'[1]OCT 1'!F22</f>
        <v>21.72</v>
      </c>
      <c r="G6" s="17">
        <f>'[1]OCT 1'!G22</f>
        <v>21.71</v>
      </c>
      <c r="H6" s="17">
        <f>'[1]OCT 1'!H22</f>
        <v>21.7</v>
      </c>
      <c r="I6" s="17">
        <f>'[1]OCT 1'!I22</f>
        <v>21.69</v>
      </c>
      <c r="J6" s="17">
        <f>'[1]OCT 1'!J22</f>
        <v>21.8</v>
      </c>
      <c r="K6" s="17">
        <f>'[1]OCT 1'!K22</f>
        <v>21.67</v>
      </c>
      <c r="L6" s="17">
        <f>'[1]OCT 1'!L22</f>
        <v>21.65</v>
      </c>
      <c r="M6" s="17">
        <f>'[1]OCT 1'!M22</f>
        <v>21.65</v>
      </c>
      <c r="N6" s="17">
        <f>'[1]OCT 1'!N22</f>
        <v>21.65</v>
      </c>
      <c r="O6" s="17">
        <f>'[1]OCT 1'!O22</f>
        <v>21.65</v>
      </c>
      <c r="P6" s="17">
        <f>'[1]OCT 1'!P22</f>
        <v>21.65</v>
      </c>
      <c r="Q6" s="17">
        <f>'[1]OCT 1'!Q22</f>
        <v>21.65</v>
      </c>
      <c r="R6" s="17">
        <f>'[1]OCT 1'!R22</f>
        <v>21.64</v>
      </c>
      <c r="S6" s="17">
        <f>'[1]OCT 1'!S22</f>
        <v>21.64</v>
      </c>
      <c r="T6" s="17">
        <f>'[1]OCT 1'!T22</f>
        <v>21.64</v>
      </c>
      <c r="U6" s="17">
        <f>'[1]OCT 1'!U22</f>
        <v>21.63</v>
      </c>
      <c r="V6" s="17">
        <f>'[1]OCT 1'!V22</f>
        <v>21.63</v>
      </c>
      <c r="W6" s="17">
        <f>'[1]OCT 1'!W22</f>
        <v>21.63</v>
      </c>
      <c r="X6" s="17">
        <f>'[1]OCT 1'!X22</f>
        <v>21.63</v>
      </c>
      <c r="Y6" s="17">
        <f>'[1]OCT 1'!Y22</f>
        <v>21.62</v>
      </c>
      <c r="Z6" s="18">
        <f t="shared" ref="Z6:Z35" si="0">AVERAGE(B6:Y6)</f>
        <v>21.67541666666666</v>
      </c>
      <c r="AA6" s="19">
        <v>1</v>
      </c>
      <c r="AB6" s="20">
        <f>MAX(B6:Y6)</f>
        <v>21.8</v>
      </c>
      <c r="AC6" s="20">
        <f>MIN(B6:Y6)</f>
        <v>21.62</v>
      </c>
    </row>
    <row r="7" spans="1:42" ht="14.25" customHeight="1" x14ac:dyDescent="0.25">
      <c r="A7" s="16">
        <v>2</v>
      </c>
      <c r="B7" s="21">
        <f>'[1]OCT 2'!B22</f>
        <v>21.62</v>
      </c>
      <c r="C7" s="21">
        <f>'[1]OCT 2'!C22</f>
        <v>21.62</v>
      </c>
      <c r="D7" s="21">
        <f>'[1]OCT 2'!D22</f>
        <v>21.62</v>
      </c>
      <c r="E7" s="21">
        <f>'[1]OCT 2'!E22</f>
        <v>21.62</v>
      </c>
      <c r="F7" s="21">
        <f>'[1]OCT 2'!F22</f>
        <v>21.62</v>
      </c>
      <c r="G7" s="21">
        <f>'[1]OCT 2'!G22</f>
        <v>21.61</v>
      </c>
      <c r="H7" s="21">
        <f>'[1]OCT 2'!H22</f>
        <v>21.61</v>
      </c>
      <c r="I7" s="21">
        <f>'[1]OCT 2'!I22</f>
        <v>21.61</v>
      </c>
      <c r="J7" s="21">
        <f>'[1]OCT 2'!J22</f>
        <v>21.61</v>
      </c>
      <c r="K7" s="21">
        <f>'[1]OCT 2'!K22</f>
        <v>21.61</v>
      </c>
      <c r="L7" s="21">
        <f>'[1]OCT 2'!L22</f>
        <v>21.61</v>
      </c>
      <c r="M7" s="21">
        <f>'[1]OCT 2'!M22</f>
        <v>21.61</v>
      </c>
      <c r="N7" s="21">
        <f>'[1]OCT 2'!N22</f>
        <v>21.61</v>
      </c>
      <c r="O7" s="21">
        <f>'[1]OCT 2'!O22</f>
        <v>21.6</v>
      </c>
      <c r="P7" s="21">
        <f>'[1]OCT 2'!P22</f>
        <v>21.6</v>
      </c>
      <c r="Q7" s="21">
        <f>'[1]OCT 2'!Q22</f>
        <v>21.6</v>
      </c>
      <c r="R7" s="21">
        <f>'[1]OCT 2'!R22</f>
        <v>21.6</v>
      </c>
      <c r="S7" s="21">
        <f>'[1]OCT 2'!S22</f>
        <v>21.81</v>
      </c>
      <c r="T7" s="21">
        <f>'[1]OCT 2'!T22</f>
        <v>21.74</v>
      </c>
      <c r="U7" s="21">
        <f>'[1]OCT 2'!U22</f>
        <v>21.73</v>
      </c>
      <c r="V7" s="21">
        <f>'[1]OCT 2'!V22</f>
        <v>21.73</v>
      </c>
      <c r="W7" s="21">
        <f>'[1]OCT 2'!W22</f>
        <v>21.73</v>
      </c>
      <c r="X7" s="21">
        <f>'[1]OCT 2'!X22</f>
        <v>21.73</v>
      </c>
      <c r="Y7" s="21">
        <f>'[1]OCT 2'!Y22</f>
        <v>21.74</v>
      </c>
      <c r="Z7" s="18">
        <f t="shared" si="0"/>
        <v>21.649583333333343</v>
      </c>
      <c r="AA7" s="19">
        <v>2</v>
      </c>
      <c r="AB7" s="20">
        <f t="shared" ref="AB7:AB35" si="1">MAX(B7:Y7)</f>
        <v>21.81</v>
      </c>
      <c r="AC7" s="20">
        <f t="shared" ref="AC7:AC34" si="2">MIN(B7:Y7)</f>
        <v>21.6</v>
      </c>
    </row>
    <row r="8" spans="1:42" ht="14.25" customHeight="1" x14ac:dyDescent="0.25">
      <c r="A8" s="16">
        <v>3</v>
      </c>
      <c r="B8" s="21">
        <f>'[1]OCT 3'!B22</f>
        <v>21.73</v>
      </c>
      <c r="C8" s="21">
        <f>'[1]OCT 3'!C22</f>
        <v>21.73</v>
      </c>
      <c r="D8" s="21">
        <f>'[1]OCT 3'!D22</f>
        <v>21.73</v>
      </c>
      <c r="E8" s="21">
        <f>'[1]OCT 3'!E22</f>
        <v>21.73</v>
      </c>
      <c r="F8" s="21">
        <f>'[1]OCT 3'!F22</f>
        <v>21.73</v>
      </c>
      <c r="G8" s="21">
        <f>'[1]OCT 3'!G22</f>
        <v>21.72</v>
      </c>
      <c r="H8" s="21">
        <f>'[1]OCT 3'!H22</f>
        <v>21.71</v>
      </c>
      <c r="I8" s="21">
        <f>'[1]OCT 3'!I22</f>
        <v>21.71</v>
      </c>
      <c r="J8" s="21">
        <f>'[1]OCT 3'!J22</f>
        <v>21.75</v>
      </c>
      <c r="K8" s="21">
        <f>'[1]OCT 3'!K22</f>
        <v>21.73</v>
      </c>
      <c r="L8" s="21">
        <f>'[1]OCT 3'!L22</f>
        <v>21.73</v>
      </c>
      <c r="M8" s="21">
        <f>'[1]OCT 3'!M22</f>
        <v>21.72</v>
      </c>
      <c r="N8" s="21">
        <f>'[1]OCT 3'!N22</f>
        <v>21.72</v>
      </c>
      <c r="O8" s="21">
        <f>'[1]OCT 3'!O22</f>
        <v>21.71</v>
      </c>
      <c r="P8" s="21">
        <f>'[1]OCT 3'!P22</f>
        <v>21.71</v>
      </c>
      <c r="Q8" s="21">
        <f>'[1]OCT 3'!Q22</f>
        <v>21.71</v>
      </c>
      <c r="R8" s="21">
        <f>'[1]OCT 3'!R22</f>
        <v>21.71</v>
      </c>
      <c r="S8" s="21">
        <f>'[1]OCT 3'!S22</f>
        <v>21.75</v>
      </c>
      <c r="T8" s="21">
        <f>'[1]OCT 3'!T22</f>
        <v>21.82</v>
      </c>
      <c r="U8" s="21">
        <f>'[1]OCT 3'!U22</f>
        <v>21.97</v>
      </c>
      <c r="V8" s="21">
        <f>'[1]OCT 3'!V22</f>
        <v>21.98</v>
      </c>
      <c r="W8" s="21">
        <f>'[1]OCT 3'!W22</f>
        <v>21.96</v>
      </c>
      <c r="X8" s="21">
        <f>'[1]OCT 3'!X22</f>
        <v>22.01</v>
      </c>
      <c r="Y8" s="21">
        <f>'[1]OCT 3'!Y22</f>
        <v>22.09</v>
      </c>
      <c r="Z8" s="22">
        <f t="shared" si="0"/>
        <v>21.785833333333329</v>
      </c>
      <c r="AA8" s="19">
        <v>3</v>
      </c>
      <c r="AB8" s="23">
        <f t="shared" si="1"/>
        <v>22.09</v>
      </c>
      <c r="AC8" s="23">
        <f t="shared" si="2"/>
        <v>21.71</v>
      </c>
    </row>
    <row r="9" spans="1:42" ht="14.25" customHeight="1" x14ac:dyDescent="0.25">
      <c r="A9" s="16">
        <v>4</v>
      </c>
      <c r="B9" s="21">
        <f>'[1]OCT 4'!B22</f>
        <v>22.18</v>
      </c>
      <c r="C9" s="21">
        <f>'[1]OCT 4'!C22</f>
        <v>22.19</v>
      </c>
      <c r="D9" s="21">
        <f>'[1]OCT 4'!D22</f>
        <v>22.14</v>
      </c>
      <c r="E9" s="21">
        <f>'[1]OCT 4'!E22</f>
        <v>22.09</v>
      </c>
      <c r="F9" s="21">
        <f>'[1]OCT 4'!F22</f>
        <v>22.04</v>
      </c>
      <c r="G9" s="21">
        <f>'[1]OCT 4'!G22</f>
        <v>21.99</v>
      </c>
      <c r="H9" s="21">
        <f>'[1]OCT 4'!H22</f>
        <v>21.96</v>
      </c>
      <c r="I9" s="21">
        <f>'[1]OCT 4'!I22</f>
        <v>21.93</v>
      </c>
      <c r="J9" s="21">
        <f>'[1]OCT 4'!J22</f>
        <v>21.9</v>
      </c>
      <c r="K9" s="21">
        <f>'[1]OCT 4'!K22</f>
        <v>21.88</v>
      </c>
      <c r="L9" s="21">
        <f>'[1]OCT 4'!L22</f>
        <v>21.86</v>
      </c>
      <c r="M9" s="21">
        <f>'[1]OCT 4'!M22</f>
        <v>21.85</v>
      </c>
      <c r="N9" s="21">
        <f>'[1]OCT 4'!N22</f>
        <v>21.82</v>
      </c>
      <c r="O9" s="21">
        <f>'[1]OCT 4'!O22</f>
        <v>21.8</v>
      </c>
      <c r="P9" s="21">
        <f>'[1]OCT 4'!P22</f>
        <v>21.78</v>
      </c>
      <c r="Q9" s="21">
        <f>'[1]OCT 4'!Q22</f>
        <v>21.76</v>
      </c>
      <c r="R9" s="21">
        <f>'[1]OCT 4'!R22</f>
        <v>21.75</v>
      </c>
      <c r="S9" s="21">
        <f>'[1]OCT 4'!S22</f>
        <v>21.71</v>
      </c>
      <c r="T9" s="21">
        <f>'[1]OCT 4'!T22</f>
        <v>21.74</v>
      </c>
      <c r="U9" s="21">
        <f>'[1]OCT 4'!U22</f>
        <v>21.74</v>
      </c>
      <c r="V9" s="21">
        <f>'[1]OCT 4'!V22</f>
        <v>21.74</v>
      </c>
      <c r="W9" s="21">
        <f>'[1]OCT 4'!W22</f>
        <v>21.74</v>
      </c>
      <c r="X9" s="21">
        <f>'[1]OCT 4'!X22</f>
        <v>21.73</v>
      </c>
      <c r="Y9" s="21">
        <f>'[1]OCT 4'!Y22</f>
        <v>21.73</v>
      </c>
      <c r="Z9" s="22">
        <f t="shared" si="0"/>
        <v>21.877083333333335</v>
      </c>
      <c r="AA9" s="19">
        <v>4</v>
      </c>
      <c r="AB9" s="20">
        <f t="shared" si="1"/>
        <v>22.19</v>
      </c>
      <c r="AC9" s="20">
        <f t="shared" si="2"/>
        <v>21.71</v>
      </c>
    </row>
    <row r="10" spans="1:42" ht="14.25" customHeight="1" x14ac:dyDescent="0.25">
      <c r="A10" s="16">
        <v>5</v>
      </c>
      <c r="B10" s="21">
        <f>'[1]OCT 5'!B22</f>
        <v>21.73</v>
      </c>
      <c r="C10" s="21">
        <f>'[1]OCT 5'!C22</f>
        <v>21.73</v>
      </c>
      <c r="D10" s="21">
        <f>'[1]OCT 5'!D22</f>
        <v>21.72</v>
      </c>
      <c r="E10" s="21">
        <f>'[1]OCT 5'!E22</f>
        <v>21.72</v>
      </c>
      <c r="F10" s="21">
        <f>'[1]OCT 5'!F22</f>
        <v>21.72</v>
      </c>
      <c r="G10" s="21">
        <f>'[1]OCT 5'!G22</f>
        <v>22.02</v>
      </c>
      <c r="H10" s="21">
        <f>'[1]OCT 5'!H22</f>
        <v>22.23</v>
      </c>
      <c r="I10" s="21">
        <f>'[1]OCT 5'!I22</f>
        <v>22.32</v>
      </c>
      <c r="J10" s="21">
        <f>'[1]OCT 5'!J22</f>
        <v>22.34</v>
      </c>
      <c r="K10" s="21">
        <f>'[1]OCT 5'!K22</f>
        <v>22.21</v>
      </c>
      <c r="L10" s="21">
        <f>'[1]OCT 5'!L22</f>
        <v>22.21</v>
      </c>
      <c r="M10" s="21">
        <f>'[1]OCT 5'!M22</f>
        <v>22.28</v>
      </c>
      <c r="N10" s="21">
        <f>'[1]OCT 5'!N22</f>
        <v>22.26</v>
      </c>
      <c r="O10" s="21">
        <f>'[1]OCT 5'!O22</f>
        <v>22.17</v>
      </c>
      <c r="P10" s="21">
        <f>'[1]OCT 5'!P22</f>
        <v>22.09</v>
      </c>
      <c r="Q10" s="21">
        <f>'[1]OCT 5'!Q22</f>
        <v>22.03</v>
      </c>
      <c r="R10" s="21">
        <f>'[1]OCT 5'!R22</f>
        <v>21.99</v>
      </c>
      <c r="S10" s="21">
        <f>'[1]OCT 5'!S22</f>
        <v>21.95</v>
      </c>
      <c r="T10" s="21">
        <f>'[1]OCT 5'!T22</f>
        <v>21.99</v>
      </c>
      <c r="U10" s="21">
        <f>'[1]OCT 5'!U22</f>
        <v>22.04</v>
      </c>
      <c r="V10" s="21">
        <f>'[1]OCT 5'!V22</f>
        <v>22.07</v>
      </c>
      <c r="W10" s="21">
        <f>'[1]OCT 5'!W22</f>
        <v>22.07</v>
      </c>
      <c r="X10" s="21">
        <f>'[1]OCT 5'!X22</f>
        <v>22.04</v>
      </c>
      <c r="Y10" s="21">
        <f>'[1]OCT 5'!Y22</f>
        <v>21.99</v>
      </c>
      <c r="Z10" s="22">
        <f t="shared" si="0"/>
        <v>22.03833333333333</v>
      </c>
      <c r="AA10" s="19">
        <v>5</v>
      </c>
      <c r="AB10" s="20">
        <f t="shared" si="1"/>
        <v>22.34</v>
      </c>
      <c r="AC10" s="20">
        <f t="shared" si="2"/>
        <v>21.72</v>
      </c>
    </row>
    <row r="11" spans="1:42" ht="14.25" customHeight="1" x14ac:dyDescent="0.25">
      <c r="A11" s="16">
        <v>6</v>
      </c>
      <c r="B11" s="21">
        <f>'[1]OCT 6'!B22</f>
        <v>21.99</v>
      </c>
      <c r="C11" s="21">
        <f>'[1]OCT 6'!C22</f>
        <v>21.96</v>
      </c>
      <c r="D11" s="21">
        <f>'[1]OCT 6'!D22</f>
        <v>21.94</v>
      </c>
      <c r="E11" s="21">
        <f>'[1]OCT 6'!E22</f>
        <v>21.91</v>
      </c>
      <c r="F11" s="21">
        <f>'[1]OCT 6'!F22</f>
        <v>21.88</v>
      </c>
      <c r="G11" s="21">
        <f>'[1]OCT 6'!G22</f>
        <v>21.87</v>
      </c>
      <c r="H11" s="21">
        <f>'[1]OCT 6'!H22</f>
        <v>21.84</v>
      </c>
      <c r="I11" s="21">
        <f>'[1]OCT 6'!I22</f>
        <v>21.82</v>
      </c>
      <c r="J11" s="21">
        <f>'[1]OCT 6'!J22</f>
        <v>21.81</v>
      </c>
      <c r="K11" s="21">
        <f>'[1]OCT 6'!K22</f>
        <v>21.8</v>
      </c>
      <c r="L11" s="21">
        <f>'[1]OCT 6'!L22</f>
        <v>21.79</v>
      </c>
      <c r="M11" s="21">
        <f>'[1]OCT 6'!M22</f>
        <v>21.78</v>
      </c>
      <c r="N11" s="21">
        <f>'[1]OCT 6'!N22</f>
        <v>21.78</v>
      </c>
      <c r="O11" s="21">
        <f>'[1]OCT 6'!O22</f>
        <v>21.78</v>
      </c>
      <c r="P11" s="21">
        <f>'[1]OCT 6'!P22</f>
        <v>21.78</v>
      </c>
      <c r="Q11" s="21">
        <f>'[1]OCT 6'!Q22</f>
        <v>21.78</v>
      </c>
      <c r="R11" s="21">
        <f>'[1]OCT 6'!R22</f>
        <v>21.77</v>
      </c>
      <c r="S11" s="21">
        <f>'[1]OCT 6'!S22</f>
        <v>21.77</v>
      </c>
      <c r="T11" s="21">
        <f>'[1]OCT 6'!T22</f>
        <v>21.76</v>
      </c>
      <c r="U11" s="21">
        <f>'[1]OCT 6'!U22</f>
        <v>12.76</v>
      </c>
      <c r="V11" s="21">
        <f>'[1]OCT 6'!V22</f>
        <v>21.75</v>
      </c>
      <c r="W11" s="21">
        <f>'[1]OCT 6'!W22</f>
        <v>21.75</v>
      </c>
      <c r="X11" s="21">
        <f>'[1]OCT 6'!X22</f>
        <v>21.74</v>
      </c>
      <c r="Y11" s="21">
        <f>'[1]OCT 6'!Y22</f>
        <v>21.74</v>
      </c>
      <c r="Z11" s="18">
        <f t="shared" si="0"/>
        <v>21.439583333333328</v>
      </c>
      <c r="AA11" s="19">
        <v>6</v>
      </c>
      <c r="AB11" s="20">
        <f>MAX(B11:Y11)</f>
        <v>21.99</v>
      </c>
      <c r="AC11" s="20">
        <f>MIN(B11:Y11)</f>
        <v>12.76</v>
      </c>
    </row>
    <row r="12" spans="1:42" ht="14.25" customHeight="1" x14ac:dyDescent="0.25">
      <c r="A12" s="16">
        <v>7</v>
      </c>
      <c r="B12" s="21">
        <f>'[1]OCT 7'!B22</f>
        <v>21.73</v>
      </c>
      <c r="C12" s="21">
        <f>'[1]OCT 7'!C22</f>
        <v>21.72</v>
      </c>
      <c r="D12" s="21">
        <f>'[1]OCT 7'!D22</f>
        <v>21.72</v>
      </c>
      <c r="E12" s="21">
        <f>'[1]OCT 7'!E22</f>
        <v>21.71</v>
      </c>
      <c r="F12" s="21">
        <f>'[1]OCT 7'!F22</f>
        <v>21.71</v>
      </c>
      <c r="G12" s="21">
        <f>'[1]OCT 7'!G22</f>
        <v>21.7</v>
      </c>
      <c r="H12" s="21">
        <f>'[1]OCT 7'!H22</f>
        <v>21.7</v>
      </c>
      <c r="I12" s="21">
        <f>'[1]OCT 7'!I22</f>
        <v>21.7</v>
      </c>
      <c r="J12" s="21">
        <f>'[1]OCT 7'!J22</f>
        <v>21.69</v>
      </c>
      <c r="K12" s="21">
        <f>'[1]OCT 7'!K22</f>
        <v>21.69</v>
      </c>
      <c r="L12" s="21">
        <f>'[1]OCT 7'!L22</f>
        <v>21.68</v>
      </c>
      <c r="M12" s="21">
        <f>'[1]OCT 7'!M22</f>
        <v>21.67</v>
      </c>
      <c r="N12" s="21">
        <f>'[1]OCT 7'!N22</f>
        <v>21.67</v>
      </c>
      <c r="O12" s="21">
        <f>'[1]OCT 7'!O22</f>
        <v>21.67</v>
      </c>
      <c r="P12" s="21">
        <f>'[1]OCT 7'!P22</f>
        <v>21.66</v>
      </c>
      <c r="Q12" s="21">
        <f>'[1]OCT 7'!Q22</f>
        <v>21.66</v>
      </c>
      <c r="R12" s="21">
        <f>'[1]OCT 7'!R22</f>
        <v>21.66</v>
      </c>
      <c r="S12" s="21">
        <f>'[1]OCT 7'!S22</f>
        <v>21.66</v>
      </c>
      <c r="T12" s="21">
        <f>'[1]OCT 7'!T22</f>
        <v>21.65</v>
      </c>
      <c r="U12" s="21">
        <f>'[1]OCT 7'!U22</f>
        <v>21.65</v>
      </c>
      <c r="V12" s="21">
        <f>'[1]OCT 7'!V22</f>
        <v>21.65</v>
      </c>
      <c r="W12" s="21">
        <f>'[1]OCT 7'!W22</f>
        <v>21.64</v>
      </c>
      <c r="X12" s="21">
        <f>'[1]OCT 7'!X22</f>
        <v>21.64</v>
      </c>
      <c r="Y12" s="21">
        <f>'[1]OCT 7'!Y22</f>
        <v>21.64</v>
      </c>
      <c r="Z12" s="18">
        <f t="shared" si="0"/>
        <v>21.677916666666665</v>
      </c>
      <c r="AA12" s="19">
        <v>7</v>
      </c>
      <c r="AB12" s="20">
        <f t="shared" si="1"/>
        <v>21.73</v>
      </c>
      <c r="AC12" s="20">
        <f t="shared" si="2"/>
        <v>21.64</v>
      </c>
    </row>
    <row r="13" spans="1:42" ht="14.25" customHeight="1" x14ac:dyDescent="0.25">
      <c r="A13" s="16">
        <v>8</v>
      </c>
      <c r="B13" s="21">
        <f>'[1]OCT 8'!B22</f>
        <v>21.64</v>
      </c>
      <c r="C13" s="21">
        <f>'[1]OCT 8'!C22</f>
        <v>21.63</v>
      </c>
      <c r="D13" s="21">
        <f>'[1]OCT 8'!D22</f>
        <v>21.63</v>
      </c>
      <c r="E13" s="21">
        <f>'[1]OCT 8'!E22</f>
        <v>21.63</v>
      </c>
      <c r="F13" s="21">
        <f>'[1]OCT 8'!F22</f>
        <v>21.63</v>
      </c>
      <c r="G13" s="21">
        <f>'[1]OCT 8'!G22</f>
        <v>21.62</v>
      </c>
      <c r="H13" s="21">
        <f>'[1]OCT 8'!H22</f>
        <v>21.62</v>
      </c>
      <c r="I13" s="21">
        <f>'[1]OCT 8'!I22</f>
        <v>21.62</v>
      </c>
      <c r="J13" s="21">
        <f>'[1]OCT 8'!J22</f>
        <v>22.02</v>
      </c>
      <c r="K13" s="21">
        <f>'[1]OCT 8'!K22</f>
        <v>21.79</v>
      </c>
      <c r="L13" s="21">
        <f>'[1]OCT 8'!L22</f>
        <v>21.78</v>
      </c>
      <c r="M13" s="21">
        <f>'[1]OCT 8'!M22</f>
        <v>21.77</v>
      </c>
      <c r="N13" s="21">
        <f>'[1]OCT 8'!N22</f>
        <v>21.76</v>
      </c>
      <c r="O13" s="21">
        <f>'[1]OCT 8'!O22</f>
        <v>21.74</v>
      </c>
      <c r="P13" s="21">
        <f>'[1]OCT 8'!P22</f>
        <v>21.73</v>
      </c>
      <c r="Q13" s="21">
        <f>'[1]OCT 8'!Q22</f>
        <v>21.71</v>
      </c>
      <c r="R13" s="21">
        <f>'[1]OCT 8'!R22</f>
        <v>21.7</v>
      </c>
      <c r="S13" s="21">
        <f>'[1]OCT 8'!S22</f>
        <v>21.68</v>
      </c>
      <c r="T13" s="21">
        <f>'[1]OCT 8'!T22</f>
        <v>21.67</v>
      </c>
      <c r="U13" s="21">
        <f>'[1]OCT 8'!U22</f>
        <v>21.67</v>
      </c>
      <c r="V13" s="21">
        <f>'[1]OCT 8'!V22</f>
        <v>21.65</v>
      </c>
      <c r="W13" s="21">
        <f>'[1]OCT 8'!W22</f>
        <v>21.65</v>
      </c>
      <c r="X13" s="21">
        <f>'[1]OCT 8'!X22</f>
        <v>21.64</v>
      </c>
      <c r="Y13" s="21">
        <f>'[1]OCT 8'!Y22</f>
        <v>21.64</v>
      </c>
      <c r="Z13" s="18">
        <f t="shared" si="0"/>
        <v>21.692499999999999</v>
      </c>
      <c r="AA13" s="19">
        <v>8</v>
      </c>
      <c r="AB13" s="20">
        <f t="shared" si="1"/>
        <v>22.02</v>
      </c>
      <c r="AC13" s="20">
        <f t="shared" si="2"/>
        <v>21.62</v>
      </c>
    </row>
    <row r="14" spans="1:42" ht="14.25" customHeight="1" x14ac:dyDescent="0.25">
      <c r="A14" s="16">
        <v>9</v>
      </c>
      <c r="B14" s="21">
        <f>'[1]OCT 9'!B22</f>
        <v>21.63</v>
      </c>
      <c r="C14" s="21">
        <f>'[1]OCT 9'!C22</f>
        <v>21.63</v>
      </c>
      <c r="D14" s="21">
        <f>'[1]OCT 9'!D22</f>
        <v>21.63</v>
      </c>
      <c r="E14" s="21">
        <f>'[1]OCT 9'!E22</f>
        <v>21.62</v>
      </c>
      <c r="F14" s="21">
        <f>'[1]OCT 9'!F22</f>
        <v>21.62</v>
      </c>
      <c r="G14" s="21">
        <f>'[1]OCT 9'!G22</f>
        <v>21.62</v>
      </c>
      <c r="H14" s="21">
        <f>'[1]OCT 9'!H22</f>
        <v>21.62</v>
      </c>
      <c r="I14" s="21">
        <f>'[1]OCT 9'!I22</f>
        <v>21.62</v>
      </c>
      <c r="J14" s="21">
        <f>'[1]OCT 9'!J22</f>
        <v>21.61</v>
      </c>
      <c r="K14" s="21">
        <f>'[1]OCT 9'!K22</f>
        <v>21.61</v>
      </c>
      <c r="L14" s="21">
        <f>'[1]OCT 9'!L22</f>
        <v>21.61</v>
      </c>
      <c r="M14" s="21">
        <f>'[1]OCT 9'!M22</f>
        <v>21.61</v>
      </c>
      <c r="N14" s="21">
        <f>'[1]OCT 9'!N22</f>
        <v>21.61</v>
      </c>
      <c r="O14" s="21">
        <f>'[1]OCT 9'!O22</f>
        <v>21.61</v>
      </c>
      <c r="P14" s="21">
        <f>'[1]OCT 9'!P22</f>
        <v>21.61</v>
      </c>
      <c r="Q14" s="21">
        <f>'[1]OCT 9'!Q22</f>
        <v>21.6</v>
      </c>
      <c r="R14" s="21">
        <f>'[1]OCT 9'!R22</f>
        <v>21.6</v>
      </c>
      <c r="S14" s="21">
        <f>'[1]OCT 9'!S22</f>
        <v>21.6</v>
      </c>
      <c r="T14" s="21">
        <f>'[1]OCT 9'!T22</f>
        <v>21.6</v>
      </c>
      <c r="U14" s="21">
        <f>'[1]OCT 9'!U22</f>
        <v>21.6</v>
      </c>
      <c r="V14" s="21">
        <f>'[1]OCT 9'!V22</f>
        <v>21.6</v>
      </c>
      <c r="W14" s="21">
        <f>'[1]OCT 9'!W22</f>
        <v>21.6</v>
      </c>
      <c r="X14" s="21">
        <f>'[1]OCT 9'!X22</f>
        <v>21.6</v>
      </c>
      <c r="Y14" s="21">
        <f>'[1]OCT 9'!Y22</f>
        <v>21.6</v>
      </c>
      <c r="Z14" s="18">
        <f t="shared" si="0"/>
        <v>21.610833333333346</v>
      </c>
      <c r="AA14" s="19">
        <v>9</v>
      </c>
      <c r="AB14" s="20">
        <f t="shared" si="1"/>
        <v>21.63</v>
      </c>
      <c r="AC14" s="20">
        <f t="shared" si="2"/>
        <v>21.6</v>
      </c>
    </row>
    <row r="15" spans="1:42" ht="14.25" customHeight="1" x14ac:dyDescent="0.25">
      <c r="A15" s="16">
        <v>10</v>
      </c>
      <c r="B15" s="21">
        <f>'[1]OCT 10'!B22</f>
        <v>21.59</v>
      </c>
      <c r="C15" s="21">
        <f>'[1]OCT 10'!C22</f>
        <v>21.59</v>
      </c>
      <c r="D15" s="21">
        <f>'[1]OCT 10'!D22</f>
        <v>21.59</v>
      </c>
      <c r="E15" s="21">
        <f>'[1]OCT 10'!E22</f>
        <v>21.59</v>
      </c>
      <c r="F15" s="21">
        <f>'[1]OCT 10'!F22</f>
        <v>21.59</v>
      </c>
      <c r="G15" s="21">
        <f>'[1]OCT 10'!G22</f>
        <v>21.59</v>
      </c>
      <c r="H15" s="21">
        <f>'[1]OCT 10'!H22</f>
        <v>21.59</v>
      </c>
      <c r="I15" s="21">
        <f>'[1]OCT 10'!I22</f>
        <v>21.59</v>
      </c>
      <c r="J15" s="21">
        <f>'[1]OCT 10'!J22</f>
        <v>21.59</v>
      </c>
      <c r="K15" s="21">
        <f>'[1]OCT 10'!K22</f>
        <v>21.59</v>
      </c>
      <c r="L15" s="21">
        <f>'[1]OCT 10'!L22</f>
        <v>21.59</v>
      </c>
      <c r="M15" s="21">
        <f>'[1]OCT 10'!M22</f>
        <v>21.59</v>
      </c>
      <c r="N15" s="21">
        <f>'[1]OCT 10'!N22</f>
        <v>21.59</v>
      </c>
      <c r="O15" s="21">
        <f>'[1]OCT 10'!O22</f>
        <v>21.59</v>
      </c>
      <c r="P15" s="21">
        <f>'[1]OCT 10'!P22</f>
        <v>21.59</v>
      </c>
      <c r="Q15" s="21">
        <f>'[1]OCT 10'!Q22</f>
        <v>21.59</v>
      </c>
      <c r="R15" s="21">
        <f>'[1]OCT 10'!R22</f>
        <v>21.58</v>
      </c>
      <c r="S15" s="21">
        <f>'[1]OCT 10'!S22</f>
        <v>21.58</v>
      </c>
      <c r="T15" s="21">
        <f>'[1]OCT 10'!T22</f>
        <v>21.58</v>
      </c>
      <c r="U15" s="21">
        <f>'[1]OCT 10'!U22</f>
        <v>21.58</v>
      </c>
      <c r="V15" s="21">
        <f>'[1]OCT 10'!V22</f>
        <v>21.58</v>
      </c>
      <c r="W15" s="21">
        <f>'[1]OCT 10'!W22</f>
        <v>21.58</v>
      </c>
      <c r="X15" s="21">
        <f>'[1]OCT 10'!X22</f>
        <v>21.58</v>
      </c>
      <c r="Y15" s="21">
        <f>'[1]OCT 10'!Y22</f>
        <v>21.58</v>
      </c>
      <c r="Z15" s="18">
        <f t="shared" si="0"/>
        <v>21.586666666666659</v>
      </c>
      <c r="AA15" s="19">
        <v>10</v>
      </c>
      <c r="AB15" s="20">
        <f t="shared" si="1"/>
        <v>21.59</v>
      </c>
      <c r="AC15" s="20">
        <f t="shared" si="2"/>
        <v>21.58</v>
      </c>
    </row>
    <row r="16" spans="1:42" ht="14.25" customHeight="1" x14ac:dyDescent="0.25">
      <c r="A16" s="16">
        <v>11</v>
      </c>
      <c r="B16" s="21">
        <f>'[1]OCT 11'!B22</f>
        <v>21.58</v>
      </c>
      <c r="C16" s="21">
        <f>'[1]OCT 11'!C22</f>
        <v>21.58</v>
      </c>
      <c r="D16" s="21">
        <f>'[1]OCT 11'!D22</f>
        <v>21.58</v>
      </c>
      <c r="E16" s="21">
        <f>'[1]OCT 11'!E22</f>
        <v>21.58</v>
      </c>
      <c r="F16" s="21">
        <f>'[1]OCT 11'!F22</f>
        <v>21.58</v>
      </c>
      <c r="G16" s="21">
        <f>'[1]OCT 11'!G22</f>
        <v>21.58</v>
      </c>
      <c r="H16" s="21">
        <f>'[1]OCT 11'!H22</f>
        <v>21.58</v>
      </c>
      <c r="I16" s="21">
        <f>'[1]OCT 11'!I22</f>
        <v>21.58</v>
      </c>
      <c r="J16" s="21">
        <f>'[1]OCT 11'!J22</f>
        <v>21.58</v>
      </c>
      <c r="K16" s="21">
        <f>'[1]OCT 11'!K22</f>
        <v>21.58</v>
      </c>
      <c r="L16" s="21">
        <f>'[1]OCT 11'!L22</f>
        <v>21.58</v>
      </c>
      <c r="M16" s="21">
        <f>'[1]OCT 11'!M22</f>
        <v>21.58</v>
      </c>
      <c r="N16" s="21">
        <f>'[1]OCT 11'!N22</f>
        <v>21.58</v>
      </c>
      <c r="O16" s="21">
        <f>'[1]OCT 11'!O22</f>
        <v>21.58</v>
      </c>
      <c r="P16" s="21">
        <f>'[1]OCT 11'!P22</f>
        <v>21.58</v>
      </c>
      <c r="Q16" s="21">
        <f>'[1]OCT 11'!Q22</f>
        <v>21.58</v>
      </c>
      <c r="R16" s="21">
        <f>'[1]OCT 11'!R22</f>
        <v>21.58</v>
      </c>
      <c r="S16" s="21">
        <f>'[1]OCT 11'!S22</f>
        <v>21.58</v>
      </c>
      <c r="T16" s="21">
        <f>'[1]OCT 11'!T22</f>
        <v>21.58</v>
      </c>
      <c r="U16" s="21">
        <f>'[1]OCT 11'!U22</f>
        <v>21.58</v>
      </c>
      <c r="V16" s="21">
        <f>'[1]OCT 11'!V22</f>
        <v>21.58</v>
      </c>
      <c r="W16" s="21">
        <f>'[1]OCT 11'!W22</f>
        <v>21.58</v>
      </c>
      <c r="X16" s="21">
        <f>'[1]OCT 11'!X22</f>
        <v>21.58</v>
      </c>
      <c r="Y16" s="21">
        <f>'[1]OCT 11'!Y22</f>
        <v>21.58</v>
      </c>
      <c r="Z16" s="18">
        <f t="shared" si="0"/>
        <v>21.579999999999988</v>
      </c>
      <c r="AA16" s="19">
        <v>11</v>
      </c>
      <c r="AB16" s="20">
        <f t="shared" si="1"/>
        <v>21.58</v>
      </c>
      <c r="AC16" s="20">
        <f t="shared" si="2"/>
        <v>21.58</v>
      </c>
    </row>
    <row r="17" spans="1:29" ht="14.25" customHeight="1" x14ac:dyDescent="0.25">
      <c r="A17" s="16">
        <v>12</v>
      </c>
      <c r="B17" s="21">
        <f>'[1]OCT 12'!B22</f>
        <v>21.58</v>
      </c>
      <c r="C17" s="21">
        <f>'[1]OCT 12'!C22</f>
        <v>21.58</v>
      </c>
      <c r="D17" s="21">
        <f>'[1]OCT 12'!D22</f>
        <v>21.58</v>
      </c>
      <c r="E17" s="21">
        <f>'[1]OCT 12'!E22</f>
        <v>21.58</v>
      </c>
      <c r="F17" s="21">
        <f>'[1]OCT 12'!F22</f>
        <v>21.58</v>
      </c>
      <c r="G17" s="21" t="str">
        <f>'[1]OCT 12'!G22</f>
        <v>**</v>
      </c>
      <c r="H17" s="21">
        <f>'[1]OCT 12'!H22</f>
        <v>21.58</v>
      </c>
      <c r="I17" s="21">
        <f>'[1]OCT 12'!I22</f>
        <v>21.58</v>
      </c>
      <c r="J17" s="21">
        <f>'[1]OCT 12'!J22</f>
        <v>21.58</v>
      </c>
      <c r="K17" s="21">
        <f>'[1]OCT 12'!K22</f>
        <v>21.58</v>
      </c>
      <c r="L17" s="21">
        <f>'[1]OCT 12'!L22</f>
        <v>21.58</v>
      </c>
      <c r="M17" s="21">
        <f>'[1]OCT 12'!M22</f>
        <v>21.58</v>
      </c>
      <c r="N17" s="21">
        <f>'[1]OCT 12'!N22</f>
        <v>21.58</v>
      </c>
      <c r="O17" s="21">
        <f>'[1]OCT 12'!O22</f>
        <v>21.58</v>
      </c>
      <c r="P17" s="21">
        <f>'[1]OCT 12'!P22</f>
        <v>21.58</v>
      </c>
      <c r="Q17" s="21">
        <f>'[1]OCT 12'!Q22</f>
        <v>21.58</v>
      </c>
      <c r="R17" s="21">
        <f>'[1]OCT 12'!R22</f>
        <v>21.58</v>
      </c>
      <c r="S17" s="21">
        <f>'[1]OCT 12'!S22</f>
        <v>21.58</v>
      </c>
      <c r="T17" s="21">
        <f>'[1]OCT 12'!T22</f>
        <v>21.58</v>
      </c>
      <c r="U17" s="21">
        <f>'[1]OCT 12'!U22</f>
        <v>21.58</v>
      </c>
      <c r="V17" s="21">
        <f>'[1]OCT 12'!V22</f>
        <v>21.58</v>
      </c>
      <c r="W17" s="21">
        <f>'[1]OCT 12'!W22</f>
        <v>21.58</v>
      </c>
      <c r="X17" s="21">
        <f>'[1]OCT 12'!X22</f>
        <v>21.58</v>
      </c>
      <c r="Y17" s="21">
        <f>'[1]OCT 12'!Y22</f>
        <v>21.58</v>
      </c>
      <c r="Z17" s="18">
        <f t="shared" si="0"/>
        <v>21.579999999999988</v>
      </c>
      <c r="AA17" s="19">
        <v>12</v>
      </c>
      <c r="AB17" s="20">
        <f t="shared" si="1"/>
        <v>21.58</v>
      </c>
      <c r="AC17" s="20">
        <f t="shared" si="2"/>
        <v>21.58</v>
      </c>
    </row>
    <row r="18" spans="1:29" ht="14.25" customHeight="1" x14ac:dyDescent="0.25">
      <c r="A18" s="16">
        <v>13</v>
      </c>
      <c r="B18" s="21">
        <f>'[1]OCT 13'!B22</f>
        <v>21.58</v>
      </c>
      <c r="C18" s="21">
        <f>'[1]OCT 13'!C22</f>
        <v>21.58</v>
      </c>
      <c r="D18" s="21">
        <f>'[1]OCT 13'!D22</f>
        <v>21.58</v>
      </c>
      <c r="E18" s="21">
        <f>'[1]OCT 13'!E22</f>
        <v>21.58</v>
      </c>
      <c r="F18" s="21">
        <f>'[1]OCT 13'!F22</f>
        <v>21.58</v>
      </c>
      <c r="G18" s="21">
        <f>'[1]OCT 13'!G22</f>
        <v>21.58</v>
      </c>
      <c r="H18" s="21">
        <f>'[1]OCT 13'!H22</f>
        <v>21.58</v>
      </c>
      <c r="I18" s="21">
        <f>'[1]OCT 13'!I22</f>
        <v>21.58</v>
      </c>
      <c r="J18" s="21">
        <f>'[1]OCT 13'!J22</f>
        <v>21.58</v>
      </c>
      <c r="K18" s="21">
        <f>'[1]OCT 13'!K22</f>
        <v>21.58</v>
      </c>
      <c r="L18" s="21">
        <f>'[1]OCT 13'!L22</f>
        <v>21.58</v>
      </c>
      <c r="M18" s="21">
        <f>'[1]OCT 13'!M22</f>
        <v>21.58</v>
      </c>
      <c r="N18" s="21">
        <f>'[1]OCT 13'!N22</f>
        <v>21.58</v>
      </c>
      <c r="O18" s="21">
        <f>'[1]OCT 13'!O22</f>
        <v>21.58</v>
      </c>
      <c r="P18" s="21">
        <f>'[1]OCT 13'!P22</f>
        <v>21.58</v>
      </c>
      <c r="Q18" s="21">
        <f>'[1]OCT 13'!Q22</f>
        <v>21.58</v>
      </c>
      <c r="R18" s="21">
        <f>'[1]OCT 13'!R22</f>
        <v>21.58</v>
      </c>
      <c r="S18" s="21">
        <f>'[1]OCT 13'!S22</f>
        <v>21.58</v>
      </c>
      <c r="T18" s="21">
        <f>'[1]OCT 13'!T22</f>
        <v>21.58</v>
      </c>
      <c r="U18" s="21">
        <f>'[1]OCT 13'!U22</f>
        <v>21.58</v>
      </c>
      <c r="V18" s="21">
        <f>'[1]OCT 13'!V22</f>
        <v>21.58</v>
      </c>
      <c r="W18" s="21">
        <f>'[1]OCT 13'!W22</f>
        <v>21.58</v>
      </c>
      <c r="X18" s="21">
        <f>'[1]OCT 13'!X22</f>
        <v>21.58</v>
      </c>
      <c r="Y18" s="21">
        <f>'[1]OCT 13'!Y22</f>
        <v>21.58</v>
      </c>
      <c r="Z18" s="18">
        <f t="shared" si="0"/>
        <v>21.579999999999988</v>
      </c>
      <c r="AA18" s="19">
        <v>13</v>
      </c>
      <c r="AB18" s="20">
        <f t="shared" si="1"/>
        <v>21.58</v>
      </c>
      <c r="AC18" s="20">
        <f t="shared" si="2"/>
        <v>21.58</v>
      </c>
    </row>
    <row r="19" spans="1:29" ht="14.25" customHeight="1" x14ac:dyDescent="0.25">
      <c r="A19" s="16">
        <v>14</v>
      </c>
      <c r="B19" s="21">
        <f>'[1]OCT 14'!B22</f>
        <v>21.58</v>
      </c>
      <c r="C19" s="21">
        <f>'[1]OCT 14'!C22</f>
        <v>21.58</v>
      </c>
      <c r="D19" s="21">
        <f>'[1]OCT 14'!D22</f>
        <v>21.58</v>
      </c>
      <c r="E19" s="21">
        <f>'[1]OCT 14'!E22</f>
        <v>21.58</v>
      </c>
      <c r="F19" s="21">
        <f>'[1]OCT 14'!F22</f>
        <v>21.58</v>
      </c>
      <c r="G19" s="21">
        <f>'[1]OCT 14'!G22</f>
        <v>21.58</v>
      </c>
      <c r="H19" s="21">
        <f>'[1]OCT 14'!H22</f>
        <v>21.58</v>
      </c>
      <c r="I19" s="21">
        <f>'[1]OCT 14'!I22</f>
        <v>21.95</v>
      </c>
      <c r="J19" s="21">
        <f>'[1]OCT 14'!J22</f>
        <v>21.76</v>
      </c>
      <c r="K19" s="21">
        <f>'[1]OCT 14'!K22</f>
        <v>21.73</v>
      </c>
      <c r="L19" s="21">
        <f>'[1]OCT 14'!L22</f>
        <v>21.7</v>
      </c>
      <c r="M19" s="21">
        <f>'[1]OCT 14'!M22</f>
        <v>21.68</v>
      </c>
      <c r="N19" s="21">
        <f>'[1]OCT 14'!N22</f>
        <v>21.67</v>
      </c>
      <c r="O19" s="21">
        <f>'[1]OCT 14'!O22</f>
        <v>21.65</v>
      </c>
      <c r="P19" s="21">
        <f>'[1]OCT 14'!P22</f>
        <v>21.64</v>
      </c>
      <c r="Q19" s="21">
        <f>'[1]OCT 14'!Q22</f>
        <v>21.63</v>
      </c>
      <c r="R19" s="21">
        <f>'[1]OCT 14'!R22</f>
        <v>21.63</v>
      </c>
      <c r="S19" s="21">
        <f>'[1]OCT 14'!S22</f>
        <v>21.62</v>
      </c>
      <c r="T19" s="21">
        <f>'[1]OCT 14'!T22</f>
        <v>21.61</v>
      </c>
      <c r="U19" s="21">
        <f>'[1]OCT 14'!U22</f>
        <v>21.6</v>
      </c>
      <c r="V19" s="21">
        <f>'[1]OCT 14'!V22</f>
        <v>21.59</v>
      </c>
      <c r="W19" s="21">
        <f>'[1]OCT 14'!W22</f>
        <v>21.59</v>
      </c>
      <c r="X19" s="21">
        <f>'[1]OCT 14'!X22</f>
        <v>21.59</v>
      </c>
      <c r="Y19" s="21">
        <f>'[1]OCT 14'!Y22</f>
        <v>21.58</v>
      </c>
      <c r="Z19" s="18">
        <f t="shared" si="0"/>
        <v>21.63666666666666</v>
      </c>
      <c r="AA19" s="19">
        <v>14</v>
      </c>
      <c r="AB19" s="20">
        <f t="shared" si="1"/>
        <v>21.95</v>
      </c>
      <c r="AC19" s="20">
        <f t="shared" si="2"/>
        <v>21.58</v>
      </c>
    </row>
    <row r="20" spans="1:29" ht="14.25" customHeight="1" x14ac:dyDescent="0.25">
      <c r="A20" s="16">
        <v>15</v>
      </c>
      <c r="B20" s="21">
        <f>'[1]OCT 15'!B22</f>
        <v>21.58</v>
      </c>
      <c r="C20" s="21">
        <f>'[1]OCT 15'!C22</f>
        <v>21.58</v>
      </c>
      <c r="D20" s="21">
        <f>'[1]OCT 15'!D22</f>
        <v>21.58</v>
      </c>
      <c r="E20" s="21">
        <f>'[1]OCT 15'!E22</f>
        <v>21.58</v>
      </c>
      <c r="F20" s="21">
        <f>'[1]OCT 15'!F22</f>
        <v>21.58</v>
      </c>
      <c r="G20" s="21">
        <f>'[1]OCT 15'!G22</f>
        <v>21.58</v>
      </c>
      <c r="H20" s="21">
        <f>'[1]OCT 15'!H22</f>
        <v>21.58</v>
      </c>
      <c r="I20" s="21">
        <f>'[1]OCT 15'!I22</f>
        <v>21.58</v>
      </c>
      <c r="J20" s="21">
        <f>'[1]OCT 15'!J22</f>
        <v>21.58</v>
      </c>
      <c r="K20" s="21">
        <f>'[1]OCT 15'!K22</f>
        <v>21.58</v>
      </c>
      <c r="L20" s="21">
        <f>'[1]OCT 15'!L22</f>
        <v>21.58</v>
      </c>
      <c r="M20" s="21">
        <f>'[1]OCT 15'!M22</f>
        <v>21.58</v>
      </c>
      <c r="N20" s="21">
        <f>'[1]OCT 15'!N22</f>
        <v>21.547999999999998</v>
      </c>
      <c r="O20" s="21">
        <f>'[1]OCT 15'!O22</f>
        <v>21.58</v>
      </c>
      <c r="P20" s="21">
        <f>'[1]OCT 15'!P22</f>
        <v>21.58</v>
      </c>
      <c r="Q20" s="21">
        <f>'[1]OCT 15'!Q22</f>
        <v>21.58</v>
      </c>
      <c r="R20" s="21">
        <f>'[1]OCT 15'!R22</f>
        <v>21.58</v>
      </c>
      <c r="S20" s="21">
        <f>'[1]OCT 15'!S22</f>
        <v>21.58</v>
      </c>
      <c r="T20" s="21">
        <f>'[1]OCT 15'!T22</f>
        <v>21.58</v>
      </c>
      <c r="U20" s="21">
        <f>'[1]OCT 15'!U22</f>
        <v>21.58</v>
      </c>
      <c r="V20" s="21">
        <f>'[1]OCT 15'!V22</f>
        <v>21.58</v>
      </c>
      <c r="W20" s="21">
        <f>'[1]OCT 15'!W22</f>
        <v>21.58</v>
      </c>
      <c r="X20" s="21">
        <f>'[1]OCT 15'!X22</f>
        <v>21.58</v>
      </c>
      <c r="Y20" s="21">
        <f>'[1]OCT 15'!Y22</f>
        <v>21.58</v>
      </c>
      <c r="Z20" s="18">
        <f t="shared" si="0"/>
        <v>21.57866666666666</v>
      </c>
      <c r="AA20" s="19">
        <v>15</v>
      </c>
      <c r="AB20" s="20">
        <f t="shared" si="1"/>
        <v>21.58</v>
      </c>
      <c r="AC20" s="20">
        <f t="shared" si="2"/>
        <v>21.547999999999998</v>
      </c>
    </row>
    <row r="21" spans="1:29" ht="14.25" customHeight="1" x14ac:dyDescent="0.25">
      <c r="A21" s="16">
        <v>16</v>
      </c>
      <c r="B21" s="21">
        <f>'[1]OCT 16'!B22</f>
        <v>21.58</v>
      </c>
      <c r="C21" s="21">
        <f>'[1]OCT 16'!C22</f>
        <v>21.58</v>
      </c>
      <c r="D21" s="21">
        <f>'[1]OCT 16'!D22</f>
        <v>21.58</v>
      </c>
      <c r="E21" s="21">
        <f>'[1]OCT 16'!E22</f>
        <v>21.58</v>
      </c>
      <c r="F21" s="21">
        <f>'[1]OCT 16'!F22</f>
        <v>21.58</v>
      </c>
      <c r="G21" s="21">
        <f>'[1]OCT 16'!G22</f>
        <v>21.58</v>
      </c>
      <c r="H21" s="21">
        <f>'[1]OCT 16'!H22</f>
        <v>21.58</v>
      </c>
      <c r="I21" s="21">
        <f>'[1]OCT 16'!I22</f>
        <v>21.58</v>
      </c>
      <c r="J21" s="21">
        <f>'[1]OCT 16'!J22</f>
        <v>21.58</v>
      </c>
      <c r="K21" s="21">
        <f>'[1]OCT 16'!K22</f>
        <v>21.58</v>
      </c>
      <c r="L21" s="21">
        <f>'[1]OCT 16'!L22</f>
        <v>21.58</v>
      </c>
      <c r="M21" s="21">
        <f>'[1]OCT 16'!M22</f>
        <v>21.58</v>
      </c>
      <c r="N21" s="21">
        <f>'[1]OCT 16'!N22</f>
        <v>21.58</v>
      </c>
      <c r="O21" s="21">
        <f>'[1]OCT 16'!O22</f>
        <v>21.58</v>
      </c>
      <c r="P21" s="21">
        <f>'[1]OCT 16'!P22</f>
        <v>21.58</v>
      </c>
      <c r="Q21" s="21">
        <f>'[1]OCT 16'!Q22</f>
        <v>21.58</v>
      </c>
      <c r="R21" s="21">
        <f>'[1]OCT 16'!R22</f>
        <v>21.58</v>
      </c>
      <c r="S21" s="21">
        <f>'[1]OCT 16'!S22</f>
        <v>21.58</v>
      </c>
      <c r="T21" s="21">
        <f>'[1]OCT 16'!T22</f>
        <v>21.58</v>
      </c>
      <c r="U21" s="21">
        <f>'[1]OCT 16'!U22</f>
        <v>21.58</v>
      </c>
      <c r="V21" s="21">
        <f>'[1]OCT 16'!V22</f>
        <v>21.58</v>
      </c>
      <c r="W21" s="21">
        <f>'[1]OCT 16'!W22</f>
        <v>21.58</v>
      </c>
      <c r="X21" s="21">
        <f>'[1]OCT 16'!X22</f>
        <v>21.58</v>
      </c>
      <c r="Y21" s="21">
        <f>'[1]OCT 16'!Y22</f>
        <v>21.58</v>
      </c>
      <c r="Z21" s="18">
        <f t="shared" si="0"/>
        <v>21.579999999999988</v>
      </c>
      <c r="AA21" s="19">
        <v>16</v>
      </c>
      <c r="AB21" s="20">
        <f t="shared" si="1"/>
        <v>21.58</v>
      </c>
      <c r="AC21" s="20">
        <f t="shared" si="2"/>
        <v>21.58</v>
      </c>
    </row>
    <row r="22" spans="1:29" ht="14.25" customHeight="1" x14ac:dyDescent="0.25">
      <c r="A22" s="16">
        <v>17</v>
      </c>
      <c r="B22" s="21">
        <f>'[1]OCT 17'!B22</f>
        <v>21.58</v>
      </c>
      <c r="C22" s="21">
        <f>'[1]OCT 17'!C22</f>
        <v>21.58</v>
      </c>
      <c r="D22" s="21">
        <f>'[1]OCT 17'!D22</f>
        <v>21.58</v>
      </c>
      <c r="E22" s="21">
        <f>'[1]OCT 17'!E22</f>
        <v>21.58</v>
      </c>
      <c r="F22" s="21">
        <f>'[1]OCT 17'!F22</f>
        <v>21.58</v>
      </c>
      <c r="G22" s="21">
        <f>'[1]OCT 17'!G22</f>
        <v>21.58</v>
      </c>
      <c r="H22" s="21">
        <f>'[1]OCT 17'!H22</f>
        <v>21.58</v>
      </c>
      <c r="I22" s="21">
        <f>'[1]OCT 17'!I22</f>
        <v>21.58</v>
      </c>
      <c r="J22" s="21">
        <f>'[1]OCT 17'!J22</f>
        <v>21.58</v>
      </c>
      <c r="K22" s="21">
        <f>'[1]OCT 17'!K22</f>
        <v>21.58</v>
      </c>
      <c r="L22" s="21">
        <f>'[1]OCT 17'!L22</f>
        <v>21.58</v>
      </c>
      <c r="M22" s="21">
        <f>'[1]OCT 17'!M22</f>
        <v>21.58</v>
      </c>
      <c r="N22" s="21">
        <f>'[1]OCT 17'!N22</f>
        <v>21.58</v>
      </c>
      <c r="O22" s="21">
        <f>'[1]OCT 17'!O22</f>
        <v>21.58</v>
      </c>
      <c r="P22" s="21">
        <f>'[1]OCT 17'!P22</f>
        <v>21.58</v>
      </c>
      <c r="Q22" s="21">
        <f>'[1]OCT 17'!Q22</f>
        <v>21.58</v>
      </c>
      <c r="R22" s="21">
        <f>'[1]OCT 17'!R22</f>
        <v>21.58</v>
      </c>
      <c r="S22" s="21">
        <f>'[1]OCT 17'!S22</f>
        <v>21.58</v>
      </c>
      <c r="T22" s="21">
        <f>'[1]OCT 17'!T22</f>
        <v>21.58</v>
      </c>
      <c r="U22" s="21">
        <f>'[1]OCT 17'!U22</f>
        <v>21.58</v>
      </c>
      <c r="V22" s="21">
        <f>'[1]OCT 17'!V22</f>
        <v>21.58</v>
      </c>
      <c r="W22" s="21">
        <f>'[1]OCT 17'!W22</f>
        <v>21.58</v>
      </c>
      <c r="X22" s="21">
        <f>'[1]OCT 17'!X22</f>
        <v>21.57</v>
      </c>
      <c r="Y22" s="21">
        <f>'[1]OCT 17'!Y22</f>
        <v>21.57</v>
      </c>
      <c r="Z22" s="18">
        <f t="shared" si="0"/>
        <v>21.579166666666655</v>
      </c>
      <c r="AA22" s="19">
        <v>17</v>
      </c>
      <c r="AB22" s="20">
        <f>MAX(B22:Y22)</f>
        <v>21.58</v>
      </c>
      <c r="AC22" s="20">
        <f>MIN(B22:Y22)</f>
        <v>21.57</v>
      </c>
    </row>
    <row r="23" spans="1:29" ht="14.25" customHeight="1" x14ac:dyDescent="0.25">
      <c r="A23" s="16">
        <v>18</v>
      </c>
      <c r="B23" s="21">
        <f>'[1]OCT 18'!B22</f>
        <v>21.57</v>
      </c>
      <c r="C23" s="21">
        <f>'[1]OCT 18'!C22</f>
        <v>21.57</v>
      </c>
      <c r="D23" s="21">
        <f>'[1]OCT 18'!D22</f>
        <v>21.57</v>
      </c>
      <c r="E23" s="21">
        <f>'[1]OCT 18'!E22</f>
        <v>21.57</v>
      </c>
      <c r="F23" s="21">
        <f>'[1]OCT 18'!F22</f>
        <v>21.57</v>
      </c>
      <c r="G23" s="21">
        <f>'[1]OCT 18'!G22</f>
        <v>21.57</v>
      </c>
      <c r="H23" s="21">
        <f>'[1]OCT 18'!H22</f>
        <v>21.57</v>
      </c>
      <c r="I23" s="21">
        <f>'[1]OCT 18'!I22</f>
        <v>21.57</v>
      </c>
      <c r="J23" s="21">
        <f>'[1]OCT 18'!J22</f>
        <v>21.57</v>
      </c>
      <c r="K23" s="21">
        <f>'[1]OCT 18'!K22</f>
        <v>21.57</v>
      </c>
      <c r="L23" s="21">
        <f>'[1]OCT 18'!L22</f>
        <v>21.57</v>
      </c>
      <c r="M23" s="21">
        <f>'[1]OCT 18'!M22</f>
        <v>21.57</v>
      </c>
      <c r="N23" s="21">
        <f>'[1]OCT 18'!N22</f>
        <v>21.58</v>
      </c>
      <c r="O23" s="21">
        <f>'[1]OCT 18'!O22</f>
        <v>21.57</v>
      </c>
      <c r="P23" s="21">
        <f>'[1]OCT 18'!P22</f>
        <v>21.57</v>
      </c>
      <c r="Q23" s="21">
        <f>'[1]OCT 18'!Q22</f>
        <v>21.57</v>
      </c>
      <c r="R23" s="21">
        <f>'[1]OCT 18'!R22</f>
        <v>21.57</v>
      </c>
      <c r="S23" s="21">
        <f>'[1]OCT 18'!S22</f>
        <v>21.57</v>
      </c>
      <c r="T23" s="21">
        <f>'[1]OCT 18'!T22</f>
        <v>21.57</v>
      </c>
      <c r="U23" s="21">
        <f>'[1]OCT 18'!U22</f>
        <v>21.57</v>
      </c>
      <c r="V23" s="21">
        <f>'[1]OCT 18'!V22</f>
        <v>21.57</v>
      </c>
      <c r="W23" s="21">
        <f>'[1]OCT 18'!W22</f>
        <v>21.57</v>
      </c>
      <c r="X23" s="21">
        <f>'[1]OCT 18'!X22</f>
        <v>21.57</v>
      </c>
      <c r="Y23" s="21">
        <f>'[1]OCT 18'!Y22</f>
        <v>21.57</v>
      </c>
      <c r="Z23" s="18">
        <f t="shared" si="0"/>
        <v>21.570416666666663</v>
      </c>
      <c r="AA23" s="19">
        <v>18</v>
      </c>
      <c r="AB23" s="20">
        <f t="shared" si="1"/>
        <v>21.58</v>
      </c>
      <c r="AC23" s="20">
        <f t="shared" si="2"/>
        <v>21.57</v>
      </c>
    </row>
    <row r="24" spans="1:29" ht="14.25" customHeight="1" x14ac:dyDescent="0.25">
      <c r="A24" s="16">
        <v>19</v>
      </c>
      <c r="B24" s="21">
        <f>'[1]OCT 19'!B22</f>
        <v>21.57</v>
      </c>
      <c r="C24" s="21">
        <f>'[1]OCT 19'!C22</f>
        <v>21.57</v>
      </c>
      <c r="D24" s="21">
        <f>'[1]OCT 19'!D22</f>
        <v>21.57</v>
      </c>
      <c r="E24" s="21">
        <f>'[1]OCT 19'!E22</f>
        <v>21.57</v>
      </c>
      <c r="F24" s="21">
        <f>'[1]OCT 19'!F22</f>
        <v>21.63</v>
      </c>
      <c r="G24" s="21">
        <f>'[1]OCT 19'!G22</f>
        <v>22.3</v>
      </c>
      <c r="H24" s="21">
        <f>'[1]OCT 19'!H22</f>
        <v>22.31</v>
      </c>
      <c r="I24" s="21">
        <f>'[1]OCT 19'!I22</f>
        <v>22.18</v>
      </c>
      <c r="J24" s="21">
        <f>'[1]OCT 19'!J22</f>
        <v>22.12</v>
      </c>
      <c r="K24" s="21">
        <f>'[1]OCT 19'!K22</f>
        <v>22.12</v>
      </c>
      <c r="L24" s="21">
        <f>'[1]OCT 19'!L22</f>
        <v>22.1</v>
      </c>
      <c r="M24" s="21">
        <f>'[1]OCT 19'!M22</f>
        <v>22.01</v>
      </c>
      <c r="N24" s="21">
        <f>'[1]OCT 19'!N22</f>
        <v>21.91</v>
      </c>
      <c r="O24" s="21">
        <f>'[1]OCT 19'!O22</f>
        <v>21.84</v>
      </c>
      <c r="P24" s="21">
        <f>'[1]OCT 19'!P22</f>
        <v>21.78</v>
      </c>
      <c r="Q24" s="21">
        <f>'[1]OCT 19'!Q22</f>
        <v>21.76</v>
      </c>
      <c r="R24" s="21">
        <f>'[1]OCT 19'!R22</f>
        <v>21.76</v>
      </c>
      <c r="S24" s="21">
        <f>'[1]OCT 19'!S22</f>
        <v>21.75</v>
      </c>
      <c r="T24" s="21">
        <f>'[1]OCT 19'!T22</f>
        <v>21.74</v>
      </c>
      <c r="U24" s="21">
        <f>'[1]OCT 19'!U22</f>
        <v>21.72</v>
      </c>
      <c r="V24" s="21">
        <f>'[1]OCT 19'!V22</f>
        <v>21.7</v>
      </c>
      <c r="W24" s="21">
        <f>'[1]OCT 19'!W22</f>
        <v>21.69</v>
      </c>
      <c r="X24" s="21">
        <f>'[1]OCT 19'!X22</f>
        <v>21.67</v>
      </c>
      <c r="Y24" s="21">
        <f>'[1]OCT 19'!Y22</f>
        <v>21.66</v>
      </c>
      <c r="Z24" s="18">
        <f t="shared" si="0"/>
        <v>21.834583333333338</v>
      </c>
      <c r="AA24" s="19">
        <v>19</v>
      </c>
      <c r="AB24" s="20">
        <f t="shared" si="1"/>
        <v>22.31</v>
      </c>
      <c r="AC24" s="20">
        <f t="shared" si="2"/>
        <v>21.57</v>
      </c>
    </row>
    <row r="25" spans="1:29" ht="14.25" customHeight="1" x14ac:dyDescent="0.25">
      <c r="A25" s="16">
        <v>20</v>
      </c>
      <c r="B25" s="21">
        <f>'[1]OCT 20'!B22</f>
        <v>21.65</v>
      </c>
      <c r="C25" s="21">
        <f>'[1]OCT 20'!C22</f>
        <v>21.64</v>
      </c>
      <c r="D25" s="21">
        <f>'[1]OCT 20'!D22</f>
        <v>21.63</v>
      </c>
      <c r="E25" s="21">
        <f>'[1]OCT 20'!E22</f>
        <v>21.63</v>
      </c>
      <c r="F25" s="21">
        <f>'[1]OCT 20'!F22</f>
        <v>21.62</v>
      </c>
      <c r="G25" s="21">
        <f>'[1]OCT 20'!G22</f>
        <v>21.61</v>
      </c>
      <c r="H25" s="21">
        <f>'[1]OCT 20'!H22</f>
        <v>21.61</v>
      </c>
      <c r="I25" s="21">
        <f>'[1]OCT 20'!I22</f>
        <v>21.6</v>
      </c>
      <c r="J25" s="21">
        <f>'[1]OCT 20'!J22</f>
        <v>21.6</v>
      </c>
      <c r="K25" s="21">
        <f>'[1]OCT 20'!K22</f>
        <v>21.59</v>
      </c>
      <c r="L25" s="21">
        <f>'[1]OCT 20'!L22</f>
        <v>21.86</v>
      </c>
      <c r="M25" s="21">
        <f>'[1]OCT 20'!M22</f>
        <v>22.12</v>
      </c>
      <c r="N25" s="21">
        <f>'[1]OCT 20'!N22</f>
        <v>22.11</v>
      </c>
      <c r="O25" s="21">
        <f>'[1]OCT 20'!O22</f>
        <v>21.92</v>
      </c>
      <c r="P25" s="21">
        <f>'[1]OCT 20'!P22</f>
        <v>21.77</v>
      </c>
      <c r="Q25" s="21">
        <f>'[1]OCT 20'!Q22</f>
        <v>21.76</v>
      </c>
      <c r="R25" s="21">
        <f>'[1]OCT 20'!R22</f>
        <v>21.75</v>
      </c>
      <c r="S25" s="21">
        <f>'[1]OCT 20'!S22</f>
        <v>21.75</v>
      </c>
      <c r="T25" s="21">
        <f>'[1]OCT 20'!T22</f>
        <v>21.74</v>
      </c>
      <c r="U25" s="21">
        <f>'[1]OCT 20'!U22</f>
        <v>21.73</v>
      </c>
      <c r="V25" s="21">
        <f>'[1]OCT 20'!V22</f>
        <v>21.78</v>
      </c>
      <c r="W25" s="21">
        <f>'[1]OCT 20'!W22</f>
        <v>21.76</v>
      </c>
      <c r="X25" s="21">
        <f>'[1]OCT 20'!X22</f>
        <v>21.76</v>
      </c>
      <c r="Y25" s="21">
        <f>'[1]OCT 20'!Y22</f>
        <v>21.76</v>
      </c>
      <c r="Z25" s="18">
        <f t="shared" si="0"/>
        <v>21.739583333333332</v>
      </c>
      <c r="AA25" s="19">
        <v>20</v>
      </c>
      <c r="AB25" s="20">
        <f t="shared" si="1"/>
        <v>22.12</v>
      </c>
      <c r="AC25" s="20">
        <f t="shared" si="2"/>
        <v>21.59</v>
      </c>
    </row>
    <row r="26" spans="1:29" ht="14.25" customHeight="1" x14ac:dyDescent="0.25">
      <c r="A26" s="16">
        <v>21</v>
      </c>
      <c r="B26" s="21">
        <f>'[1]OCT 21'!B22</f>
        <v>21.75</v>
      </c>
      <c r="C26" s="21">
        <f>'[1]OCT 21'!C22</f>
        <v>21.75</v>
      </c>
      <c r="D26" s="21">
        <f>'[1]OCT 21'!D22</f>
        <v>21.74</v>
      </c>
      <c r="E26" s="21">
        <f>'[1]OCT 21'!E22</f>
        <v>21.73</v>
      </c>
      <c r="F26" s="21">
        <f>'[1]OCT 21'!F22</f>
        <v>21.73</v>
      </c>
      <c r="G26" s="21">
        <f>'[1]OCT 21'!G22</f>
        <v>21.72</v>
      </c>
      <c r="H26" s="21">
        <f>'[1]OCT 21'!H22</f>
        <v>21.72</v>
      </c>
      <c r="I26" s="21">
        <f>'[1]OCT 21'!I22</f>
        <v>21.71</v>
      </c>
      <c r="J26" s="21">
        <f>'[1]OCT 21'!J22</f>
        <v>21.7</v>
      </c>
      <c r="K26" s="21">
        <f>'[1]OCT 21'!K22</f>
        <v>21.69</v>
      </c>
      <c r="L26" s="21">
        <f>'[1]OCT 21'!L22</f>
        <v>21.68</v>
      </c>
      <c r="M26" s="21">
        <f>'[1]OCT 21'!M22</f>
        <v>21.67</v>
      </c>
      <c r="N26" s="21">
        <f>'[1]OCT 21'!N22</f>
        <v>21.66</v>
      </c>
      <c r="O26" s="21">
        <f>'[1]OCT 21'!O22</f>
        <v>21.66</v>
      </c>
      <c r="P26" s="21">
        <f>'[1]OCT 21'!P22</f>
        <v>21.65</v>
      </c>
      <c r="Q26" s="21">
        <f>'[1]OCT 21'!Q22</f>
        <v>21.65</v>
      </c>
      <c r="R26" s="21">
        <f>'[1]OCT 21'!R22</f>
        <v>21.64</v>
      </c>
      <c r="S26" s="21">
        <f>'[1]OCT 21'!S22</f>
        <v>21.63</v>
      </c>
      <c r="T26" s="21">
        <f>'[1]OCT 21'!T22</f>
        <v>21.63</v>
      </c>
      <c r="U26" s="21">
        <f>'[1]OCT 21'!U22</f>
        <v>21.62</v>
      </c>
      <c r="V26" s="21">
        <f>'[1]OCT 21'!V22</f>
        <v>21.62</v>
      </c>
      <c r="W26" s="21">
        <f>'[1]OCT 21'!W22</f>
        <v>21.61</v>
      </c>
      <c r="X26" s="21">
        <f>'[1]OCT 21'!X22</f>
        <v>21.61</v>
      </c>
      <c r="Y26" s="21">
        <f>'[1]OCT 21'!Y22</f>
        <v>21.6</v>
      </c>
      <c r="Z26" s="18">
        <f t="shared" si="0"/>
        <v>21.673750000000002</v>
      </c>
      <c r="AA26" s="19">
        <v>21</v>
      </c>
      <c r="AB26" s="20">
        <f t="shared" si="1"/>
        <v>21.75</v>
      </c>
      <c r="AC26" s="20">
        <f t="shared" si="2"/>
        <v>21.6</v>
      </c>
    </row>
    <row r="27" spans="1:29" ht="14.25" customHeight="1" x14ac:dyDescent="0.25">
      <c r="A27" s="16">
        <v>22</v>
      </c>
      <c r="B27" s="21">
        <f>'[1]OCT 22'!B22</f>
        <v>21.6</v>
      </c>
      <c r="C27" s="21">
        <f>'[1]OCT 22'!C22</f>
        <v>21.59</v>
      </c>
      <c r="D27" s="21">
        <f>'[1]OCT 22'!D22</f>
        <v>21.59</v>
      </c>
      <c r="E27" s="21">
        <f>'[1]OCT 22'!E22</f>
        <v>21.58</v>
      </c>
      <c r="F27" s="21">
        <f>'[1]OCT 22'!F22</f>
        <v>21.58</v>
      </c>
      <c r="G27" s="21">
        <f>'[1]OCT 22'!G22</f>
        <v>21.58</v>
      </c>
      <c r="H27" s="21">
        <f>'[1]OCT 22'!H22</f>
        <v>21.58</v>
      </c>
      <c r="I27" s="21">
        <f>'[1]OCT 22'!I22</f>
        <v>21.58</v>
      </c>
      <c r="J27" s="21">
        <f>'[1]OCT 22'!J22</f>
        <v>21.58</v>
      </c>
      <c r="K27" s="21">
        <f>'[1]OCT 22'!K22</f>
        <v>21.58</v>
      </c>
      <c r="L27" s="21">
        <f>'[1]OCT 22'!L22</f>
        <v>21.58</v>
      </c>
      <c r="M27" s="21">
        <f>'[1]OCT 22'!M22</f>
        <v>21.58</v>
      </c>
      <c r="N27" s="21">
        <f>'[1]OCT 22'!N22</f>
        <v>21.58</v>
      </c>
      <c r="O27" s="21">
        <f>'[1]OCT 22'!O22</f>
        <v>21.58</v>
      </c>
      <c r="P27" s="21">
        <f>'[1]OCT 22'!P22</f>
        <v>21.59</v>
      </c>
      <c r="Q27" s="21">
        <f>'[1]OCT 22'!Q22</f>
        <v>21.58</v>
      </c>
      <c r="R27" s="21">
        <f>'[1]OCT 22'!R22</f>
        <v>21.58</v>
      </c>
      <c r="S27" s="21">
        <f>'[1]OCT 22'!S22</f>
        <v>21.58</v>
      </c>
      <c r="T27" s="21">
        <f>'[1]OCT 22'!T22</f>
        <v>21.58</v>
      </c>
      <c r="U27" s="21">
        <f>'[1]OCT 22'!U22</f>
        <v>21.58</v>
      </c>
      <c r="V27" s="21">
        <f>'[1]OCT 22'!V22</f>
        <v>21.58</v>
      </c>
      <c r="W27" s="21">
        <f>'[1]OCT 22'!W22</f>
        <v>21.58</v>
      </c>
      <c r="X27" s="21">
        <f>'[1]OCT 22'!X22</f>
        <v>21.58</v>
      </c>
      <c r="Y27" s="21">
        <f>'[1]OCT 22'!Y22</f>
        <v>21.58</v>
      </c>
      <c r="Z27" s="18">
        <f t="shared" si="0"/>
        <v>21.582083333333319</v>
      </c>
      <c r="AA27" s="19">
        <v>22</v>
      </c>
      <c r="AB27" s="20">
        <f t="shared" si="1"/>
        <v>21.6</v>
      </c>
      <c r="AC27" s="20">
        <f t="shared" si="2"/>
        <v>21.58</v>
      </c>
    </row>
    <row r="28" spans="1:29" ht="14.25" customHeight="1" x14ac:dyDescent="0.25">
      <c r="A28" s="16">
        <v>23</v>
      </c>
      <c r="B28" s="21">
        <f>'[1]OCT 23'!B22</f>
        <v>21.58</v>
      </c>
      <c r="C28" s="21">
        <f>'[1]OCT 23'!C22</f>
        <v>21.58</v>
      </c>
      <c r="D28" s="21">
        <f>'[1]OCT 23'!D22</f>
        <v>21.58</v>
      </c>
      <c r="E28" s="21">
        <f>'[1]OCT 23'!E22</f>
        <v>21.58</v>
      </c>
      <c r="F28" s="21">
        <f>'[1]OCT 23'!F22</f>
        <v>21.58</v>
      </c>
      <c r="G28" s="21">
        <f>'[1]OCT 23'!G22</f>
        <v>21.58</v>
      </c>
      <c r="H28" s="21">
        <f>'[1]OCT 23'!H22</f>
        <v>21.58</v>
      </c>
      <c r="I28" s="21">
        <f>'[1]OCT 23'!I22</f>
        <v>21.58</v>
      </c>
      <c r="J28" s="21">
        <f>'[1]OCT 23'!J22</f>
        <v>21.58</v>
      </c>
      <c r="K28" s="21">
        <f>'[1]OCT 23'!K22</f>
        <v>21.58</v>
      </c>
      <c r="L28" s="21">
        <f>'[1]OCT 23'!L22</f>
        <v>21.58</v>
      </c>
      <c r="M28" s="21">
        <f>'[1]OCT 23'!M22</f>
        <v>21.58</v>
      </c>
      <c r="N28" s="21">
        <f>'[1]OCT 23'!N22</f>
        <v>21.58</v>
      </c>
      <c r="O28" s="21">
        <f>'[1]OCT 23'!O22</f>
        <v>21.58</v>
      </c>
      <c r="P28" s="21">
        <f>'[1]OCT 23'!P22</f>
        <v>21.58</v>
      </c>
      <c r="Q28" s="21">
        <f>'[1]OCT 23'!Q22</f>
        <v>21.58</v>
      </c>
      <c r="R28" s="21">
        <f>'[1]OCT 23'!R22</f>
        <v>21.58</v>
      </c>
      <c r="S28" s="21">
        <f>'[1]OCT 23'!S22</f>
        <v>21.58</v>
      </c>
      <c r="T28" s="21">
        <f>'[1]OCT 23'!T22</f>
        <v>21.58</v>
      </c>
      <c r="U28" s="21">
        <f>'[1]OCT 23'!U22</f>
        <v>21.58</v>
      </c>
      <c r="V28" s="21">
        <f>'[1]OCT 23'!V22</f>
        <v>21.58</v>
      </c>
      <c r="W28" s="21">
        <f>'[1]OCT 23'!W22</f>
        <v>21.58</v>
      </c>
      <c r="X28" s="21">
        <f>'[1]OCT 23'!X22</f>
        <v>21.58</v>
      </c>
      <c r="Y28" s="21" t="s">
        <v>16</v>
      </c>
      <c r="Z28" s="18">
        <f t="shared" si="0"/>
        <v>21.579999999999988</v>
      </c>
      <c r="AA28" s="19">
        <v>23</v>
      </c>
      <c r="AB28" s="20">
        <f t="shared" si="1"/>
        <v>21.58</v>
      </c>
      <c r="AC28" s="20">
        <f t="shared" si="2"/>
        <v>21.58</v>
      </c>
    </row>
    <row r="29" spans="1:29" ht="14.25" customHeight="1" x14ac:dyDescent="0.25">
      <c r="A29" s="16">
        <v>24</v>
      </c>
      <c r="B29" s="21">
        <f>'[1]OCT 24'!B22</f>
        <v>21.58</v>
      </c>
      <c r="C29" s="21">
        <f>'[1]OCT 24'!C22</f>
        <v>21.58</v>
      </c>
      <c r="D29" s="21">
        <f>'[1]OCT 24'!D22</f>
        <v>21.58</v>
      </c>
      <c r="E29" s="21">
        <f>'[1]OCT 24'!E22</f>
        <v>21.58</v>
      </c>
      <c r="F29" s="21">
        <f>'[1]OCT 24'!F22</f>
        <v>21.58</v>
      </c>
      <c r="G29" s="21">
        <f>'[1]OCT 24'!G22</f>
        <v>21.58</v>
      </c>
      <c r="H29" s="21">
        <f>'[1]OCT 24'!H22</f>
        <v>21.58</v>
      </c>
      <c r="I29" s="21">
        <f>'[1]OCT 24'!I22</f>
        <v>21.57</v>
      </c>
      <c r="J29" s="21">
        <f>'[1]OCT 24'!J22</f>
        <v>21.57</v>
      </c>
      <c r="K29" s="21">
        <f>'[1]OCT 24'!K22</f>
        <v>21.57</v>
      </c>
      <c r="L29" s="21">
        <f>'[1]OCT 24'!L22</f>
        <v>21.57</v>
      </c>
      <c r="M29" s="21">
        <f>'[1]OCT 24'!M22</f>
        <v>21.57</v>
      </c>
      <c r="N29" s="21">
        <f>'[1]OCT 24'!N22</f>
        <v>21.57</v>
      </c>
      <c r="O29" s="21">
        <f>'[1]OCT 24'!O22</f>
        <v>21.57</v>
      </c>
      <c r="P29" s="21">
        <f>'[1]OCT 24'!P22</f>
        <v>21.57</v>
      </c>
      <c r="Q29" s="21">
        <f>'[1]OCT 24'!Q22</f>
        <v>21.57</v>
      </c>
      <c r="R29" s="21">
        <f>'[1]OCT 24'!R22</f>
        <v>21.57</v>
      </c>
      <c r="S29" s="21">
        <f>'[1]OCT 24'!S22</f>
        <v>21.57</v>
      </c>
      <c r="T29" s="21">
        <f>'[1]OCT 24'!T22</f>
        <v>21.57</v>
      </c>
      <c r="U29" s="21">
        <f>'[1]OCT 24'!U22</f>
        <v>21.57</v>
      </c>
      <c r="V29" s="21">
        <f>'[1]OCT 24'!V22</f>
        <v>21.57</v>
      </c>
      <c r="W29" s="21">
        <f>'[1]OCT 24'!W22</f>
        <v>21.57</v>
      </c>
      <c r="X29" s="21">
        <f>'[1]OCT 24'!X22</f>
        <v>21.57</v>
      </c>
      <c r="Y29" s="21">
        <f>'[1]OCT 24'!Y22</f>
        <v>21.57</v>
      </c>
      <c r="Z29" s="18">
        <f t="shared" si="0"/>
        <v>21.572916666666661</v>
      </c>
      <c r="AA29" s="19">
        <v>24</v>
      </c>
      <c r="AB29" s="20">
        <f t="shared" si="1"/>
        <v>21.58</v>
      </c>
      <c r="AC29" s="20">
        <f>MIN(B29:Y29)</f>
        <v>21.57</v>
      </c>
    </row>
    <row r="30" spans="1:29" ht="14.25" customHeight="1" x14ac:dyDescent="0.25">
      <c r="A30" s="16">
        <v>25</v>
      </c>
      <c r="B30" s="21">
        <f>'[1]OCT 25'!B22</f>
        <v>21.57</v>
      </c>
      <c r="C30" s="21">
        <f>'[1]OCT 25'!C22</f>
        <v>21.57</v>
      </c>
      <c r="D30" s="21">
        <f>'[1]OCT 25'!D22</f>
        <v>21.57</v>
      </c>
      <c r="E30" s="21">
        <f>'[1]OCT 25'!E22</f>
        <v>21.57</v>
      </c>
      <c r="F30" s="21">
        <f>'[1]OCT 25'!F22</f>
        <v>21.57</v>
      </c>
      <c r="G30" s="21">
        <f>'[1]OCT 25'!G22</f>
        <v>21.57</v>
      </c>
      <c r="H30" s="21">
        <f>'[1]OCT 25'!H22</f>
        <v>21.57</v>
      </c>
      <c r="I30" s="21">
        <f>'[1]OCT 25'!I22</f>
        <v>21.57</v>
      </c>
      <c r="J30" s="21">
        <f>'[1]OCT 25'!J22</f>
        <v>21.57</v>
      </c>
      <c r="K30" s="21">
        <f>'[1]OCT 25'!K22</f>
        <v>21.57</v>
      </c>
      <c r="L30" s="21">
        <f>'[1]OCT 25'!L22</f>
        <v>21.57</v>
      </c>
      <c r="M30" s="21">
        <f>'[1]OCT 25'!M22</f>
        <v>21.57</v>
      </c>
      <c r="N30" s="21">
        <f>'[1]OCT 25'!N22</f>
        <v>21.57</v>
      </c>
      <c r="O30" s="21">
        <f>'[1]OCT 25'!O22</f>
        <v>21.57</v>
      </c>
      <c r="P30" s="21">
        <f>'[1]OCT 25'!P22</f>
        <v>21.57</v>
      </c>
      <c r="Q30" s="21">
        <f>'[1]OCT 25'!Q22</f>
        <v>21.57</v>
      </c>
      <c r="R30" s="21">
        <f>'[1]OCT 25'!R22</f>
        <v>21.57</v>
      </c>
      <c r="S30" s="21">
        <f>'[1]OCT 25'!S22</f>
        <v>21.57</v>
      </c>
      <c r="T30" s="21">
        <f>'[1]OCT 25'!T22</f>
        <v>21.57</v>
      </c>
      <c r="U30" s="21">
        <f>'[1]OCT 25'!U22</f>
        <v>21.57</v>
      </c>
      <c r="V30" s="21">
        <f>'[1]OCT 25'!V22</f>
        <v>21.57</v>
      </c>
      <c r="W30" s="21">
        <f>'[1]OCT 25'!W22</f>
        <v>21.57</v>
      </c>
      <c r="X30" s="21">
        <f>'[1]OCT 25'!X22</f>
        <v>21.57</v>
      </c>
      <c r="Y30" s="21">
        <f>'[1]OCT 25'!Y22</f>
        <v>21.57</v>
      </c>
      <c r="Z30" s="18">
        <f t="shared" si="0"/>
        <v>21.569999999999997</v>
      </c>
      <c r="AA30" s="19">
        <v>25</v>
      </c>
      <c r="AB30" s="20">
        <f t="shared" si="1"/>
        <v>21.57</v>
      </c>
      <c r="AC30" s="20">
        <f t="shared" si="2"/>
        <v>21.57</v>
      </c>
    </row>
    <row r="31" spans="1:29" ht="14.25" customHeight="1" x14ac:dyDescent="0.25">
      <c r="A31" s="16">
        <v>26</v>
      </c>
      <c r="B31" s="21">
        <f>'[1]OCT 26'!B22</f>
        <v>21.57</v>
      </c>
      <c r="C31" s="21">
        <f>'[1]OCT 26'!C22</f>
        <v>21.57</v>
      </c>
      <c r="D31" s="21">
        <f>'[1]OCT 26'!D22</f>
        <v>21.57</v>
      </c>
      <c r="E31" s="21">
        <f>'[1]OCT 26'!E22</f>
        <v>21.57</v>
      </c>
      <c r="F31" s="21">
        <f>'[1]OCT 26'!F22</f>
        <v>21.57</v>
      </c>
      <c r="G31" s="21">
        <f>'[1]OCT 26'!G22</f>
        <v>21.57</v>
      </c>
      <c r="H31" s="21">
        <f>'[1]OCT 26'!H22</f>
        <v>21.57</v>
      </c>
      <c r="I31" s="21">
        <f>'[1]OCT 26'!I22</f>
        <v>21.57</v>
      </c>
      <c r="J31" s="21">
        <f>'[1]OCT 26'!J22</f>
        <v>21.57</v>
      </c>
      <c r="K31" s="21">
        <f>'[1]OCT 26'!K22</f>
        <v>21.57</v>
      </c>
      <c r="L31" s="21">
        <f>'[1]OCT 26'!L22</f>
        <v>21.57</v>
      </c>
      <c r="M31" s="21">
        <f>'[1]OCT 26'!M22</f>
        <v>21.57</v>
      </c>
      <c r="N31" s="21">
        <f>'[1]OCT 26'!N22</f>
        <v>21.57</v>
      </c>
      <c r="O31" s="21">
        <f>'[1]OCT 26'!O22</f>
        <v>21.57</v>
      </c>
      <c r="P31" s="21">
        <f>'[1]OCT 26'!P22</f>
        <v>21.57</v>
      </c>
      <c r="Q31" s="21">
        <f>'[1]OCT 26'!Q22</f>
        <v>21.57</v>
      </c>
      <c r="R31" s="21">
        <f>'[1]OCT 26'!R22</f>
        <v>21.57</v>
      </c>
      <c r="S31" s="21">
        <f>'[1]OCT 26'!S22</f>
        <v>21.57</v>
      </c>
      <c r="T31" s="21">
        <f>'[1]OCT 26'!T22</f>
        <v>21.57</v>
      </c>
      <c r="U31" s="21">
        <f>'[1]OCT 26'!U22</f>
        <v>21.57</v>
      </c>
      <c r="V31" s="21">
        <f>'[1]OCT 26'!V22</f>
        <v>21.57</v>
      </c>
      <c r="W31" s="21">
        <f>'[1]OCT 26'!W22</f>
        <v>21.57</v>
      </c>
      <c r="X31" s="21">
        <f>'[1]OCT 26'!X22</f>
        <v>21.57</v>
      </c>
      <c r="Y31" s="21">
        <f>'[1]OCT 26'!Y22</f>
        <v>21.57</v>
      </c>
      <c r="Z31" s="18">
        <f t="shared" si="0"/>
        <v>21.569999999999997</v>
      </c>
      <c r="AA31" s="19">
        <v>26</v>
      </c>
      <c r="AB31" s="20">
        <f t="shared" si="1"/>
        <v>21.57</v>
      </c>
      <c r="AC31" s="20">
        <f>MIN(B31:Y31)</f>
        <v>21.57</v>
      </c>
    </row>
    <row r="32" spans="1:29" ht="14.25" customHeight="1" x14ac:dyDescent="0.25">
      <c r="A32" s="16">
        <v>27</v>
      </c>
      <c r="B32" s="21">
        <f>'[1]OCT 27'!B22</f>
        <v>21.57</v>
      </c>
      <c r="C32" s="21">
        <f>'[1]OCT 27'!C22</f>
        <v>21.57</v>
      </c>
      <c r="D32" s="21">
        <f>'[1]OCT 27'!D22</f>
        <v>21.57</v>
      </c>
      <c r="E32" s="21">
        <f>'[1]OCT 27'!E22</f>
        <v>21.57</v>
      </c>
      <c r="F32" s="21">
        <f>'[1]OCT 27'!F22</f>
        <v>21.57</v>
      </c>
      <c r="G32" s="21">
        <f>'[1]OCT 27'!G22</f>
        <v>21.57</v>
      </c>
      <c r="H32" s="21">
        <f>'[1]OCT 27'!H22</f>
        <v>21.57</v>
      </c>
      <c r="I32" s="21">
        <f>'[1]OCT 27'!I22</f>
        <v>21.57</v>
      </c>
      <c r="J32" s="21">
        <f>'[1]OCT 27'!J22</f>
        <v>21.57</v>
      </c>
      <c r="K32" s="21">
        <f>'[1]OCT 27'!K22</f>
        <v>21.57</v>
      </c>
      <c r="L32" s="21">
        <f>'[1]OCT 27'!L22</f>
        <v>21.57</v>
      </c>
      <c r="M32" s="21">
        <f>'[1]OCT 27'!M22</f>
        <v>21.57</v>
      </c>
      <c r="N32" s="21">
        <f>'[1]OCT 27'!N22</f>
        <v>21.57</v>
      </c>
      <c r="O32" s="21">
        <f>'[1]OCT 27'!O22</f>
        <v>21.57</v>
      </c>
      <c r="P32" s="21">
        <f>'[1]OCT 27'!P22</f>
        <v>21.57</v>
      </c>
      <c r="Q32" s="21">
        <f>'[1]OCT 27'!Q22</f>
        <v>21.57</v>
      </c>
      <c r="R32" s="21">
        <f>'[1]OCT 27'!R22</f>
        <v>21.57</v>
      </c>
      <c r="S32" s="21">
        <f>'[1]OCT 27'!S22</f>
        <v>21.57</v>
      </c>
      <c r="T32" s="21">
        <f>'[1]OCT 27'!T22</f>
        <v>21.57</v>
      </c>
      <c r="U32" s="21">
        <f>'[1]OCT 27'!U22</f>
        <v>21.57</v>
      </c>
      <c r="V32" s="21">
        <f>'[1]OCT 27'!V22</f>
        <v>21.57</v>
      </c>
      <c r="W32" s="21">
        <f>'[1]OCT 27'!W22</f>
        <v>21.57</v>
      </c>
      <c r="X32" s="21">
        <f>'[1]OCT 27'!X22</f>
        <v>21.57</v>
      </c>
      <c r="Y32" s="21">
        <f>'[1]OCT 27'!Y22</f>
        <v>21.57</v>
      </c>
      <c r="Z32" s="18">
        <f t="shared" si="0"/>
        <v>21.569999999999997</v>
      </c>
      <c r="AA32" s="19">
        <v>27</v>
      </c>
      <c r="AB32" s="20">
        <f t="shared" si="1"/>
        <v>21.57</v>
      </c>
      <c r="AC32" s="20">
        <f t="shared" si="2"/>
        <v>21.57</v>
      </c>
    </row>
    <row r="33" spans="1:29" ht="14.25" customHeight="1" x14ac:dyDescent="0.25">
      <c r="A33" s="16">
        <v>28</v>
      </c>
      <c r="B33" s="21">
        <f>'[1]OCT 28'!B22</f>
        <v>21.57</v>
      </c>
      <c r="C33" s="21">
        <f>'[1]OCT 28'!C22</f>
        <v>21.57</v>
      </c>
      <c r="D33" s="21">
        <f>'[1]OCT 28'!D22</f>
        <v>21.57</v>
      </c>
      <c r="E33" s="21">
        <f>'[1]OCT 28'!E22</f>
        <v>21.57</v>
      </c>
      <c r="F33" s="21">
        <f>'[1]OCT 28'!F22</f>
        <v>21.57</v>
      </c>
      <c r="G33" s="21">
        <f>'[1]OCT 28'!G22</f>
        <v>21.57</v>
      </c>
      <c r="H33" s="21">
        <f>'[1]OCT 28'!H22</f>
        <v>21.57</v>
      </c>
      <c r="I33" s="21">
        <f>'[1]OCT 28'!I22</f>
        <v>21.57</v>
      </c>
      <c r="J33" s="21">
        <f>'[1]OCT 28'!J22</f>
        <v>21.57</v>
      </c>
      <c r="K33" s="21">
        <f>'[1]OCT 28'!K22</f>
        <v>21.57</v>
      </c>
      <c r="L33" s="21">
        <f>'[1]OCT 28'!L22</f>
        <v>21.57</v>
      </c>
      <c r="M33" s="21">
        <f>'[1]OCT 28'!M22</f>
        <v>21.57</v>
      </c>
      <c r="N33" s="21">
        <f>'[1]OCT 28'!N22</f>
        <v>21.57</v>
      </c>
      <c r="O33" s="21">
        <f>'[1]OCT 28'!O22</f>
        <v>21.57</v>
      </c>
      <c r="P33" s="21">
        <f>'[1]OCT 28'!P22</f>
        <v>21.57</v>
      </c>
      <c r="Q33" s="21">
        <f>'[1]OCT 28'!Q22</f>
        <v>21.57</v>
      </c>
      <c r="R33" s="21">
        <f>'[1]OCT 28'!R22</f>
        <v>21.57</v>
      </c>
      <c r="S33" s="21">
        <f>'[1]OCT 28'!S22</f>
        <v>21.57</v>
      </c>
      <c r="T33" s="21">
        <f>'[1]OCT 28'!T22</f>
        <v>21.57</v>
      </c>
      <c r="U33" s="21">
        <f>'[1]OCT 28'!U22</f>
        <v>21.57</v>
      </c>
      <c r="V33" s="21">
        <f>'[1]OCT 28'!V22</f>
        <v>21.57</v>
      </c>
      <c r="W33" s="21">
        <f>'[1]OCT 28'!W22</f>
        <v>21.57</v>
      </c>
      <c r="X33" s="21">
        <f>'[1]OCT 28'!X22</f>
        <v>21.57</v>
      </c>
      <c r="Y33" s="21">
        <f>'[1]OCT 28'!Y22</f>
        <v>21.57</v>
      </c>
      <c r="Z33" s="18">
        <f t="shared" si="0"/>
        <v>21.569999999999997</v>
      </c>
      <c r="AA33" s="19">
        <v>28</v>
      </c>
      <c r="AB33" s="20">
        <f t="shared" si="1"/>
        <v>21.57</v>
      </c>
      <c r="AC33" s="20">
        <f t="shared" si="2"/>
        <v>21.57</v>
      </c>
    </row>
    <row r="34" spans="1:29" ht="14.25" customHeight="1" x14ac:dyDescent="0.25">
      <c r="A34" s="16">
        <v>29</v>
      </c>
      <c r="B34" s="21">
        <f>'[1]OCT 29'!B22</f>
        <v>21.57</v>
      </c>
      <c r="C34" s="21">
        <f>'[1]OCT 29'!C22</f>
        <v>21.57</v>
      </c>
      <c r="D34" s="21">
        <f>'[1]OCT 29'!D22</f>
        <v>21.57</v>
      </c>
      <c r="E34" s="21">
        <f>'[1]OCT 29'!E22</f>
        <v>21.57</v>
      </c>
      <c r="F34" s="21">
        <f>'[1]OCT 29'!F22</f>
        <v>21.57</v>
      </c>
      <c r="G34" s="21">
        <f>'[1]OCT 29'!G22</f>
        <v>21.57</v>
      </c>
      <c r="H34" s="21">
        <f>'[1]OCT 29'!H22</f>
        <v>21.57</v>
      </c>
      <c r="I34" s="21">
        <f>'[1]OCT 29'!I22</f>
        <v>21.57</v>
      </c>
      <c r="J34" s="21">
        <f>'[1]OCT 29'!J22</f>
        <v>21.57</v>
      </c>
      <c r="K34" s="21">
        <f>'[1]OCT 29'!K22</f>
        <v>21.57</v>
      </c>
      <c r="L34" s="21">
        <f>'[1]OCT 29'!L22</f>
        <v>21.57</v>
      </c>
      <c r="M34" s="21">
        <f>'[1]OCT 29'!M22</f>
        <v>21.57</v>
      </c>
      <c r="N34" s="21">
        <f>'[1]OCT 29'!N22</f>
        <v>21.57</v>
      </c>
      <c r="O34" s="21">
        <f>'[1]OCT 29'!O22</f>
        <v>21.57</v>
      </c>
      <c r="P34" s="21">
        <f>'[1]OCT 29'!P22</f>
        <v>21.57</v>
      </c>
      <c r="Q34" s="21">
        <f>'[1]OCT 29'!Q22</f>
        <v>21.57</v>
      </c>
      <c r="R34" s="21">
        <f>'[1]OCT 29'!R22</f>
        <v>21.57</v>
      </c>
      <c r="S34" s="21">
        <f>'[1]OCT 29'!S22</f>
        <v>21.57</v>
      </c>
      <c r="T34" s="21">
        <f>'[1]OCT 29'!T22</f>
        <v>21.57</v>
      </c>
      <c r="U34" s="21">
        <f>'[1]OCT 29'!U22</f>
        <v>21.57</v>
      </c>
      <c r="V34" s="21">
        <f>'[1]OCT 29'!V22</f>
        <v>21.57</v>
      </c>
      <c r="W34" s="21">
        <f>'[1]OCT 29'!W22</f>
        <v>21.57</v>
      </c>
      <c r="X34" s="21">
        <f>'[1]OCT 29'!X22</f>
        <v>21.57</v>
      </c>
      <c r="Y34" s="21">
        <f>'[1]OCT 29'!Y22</f>
        <v>21.57</v>
      </c>
      <c r="Z34" s="18">
        <f t="shared" si="0"/>
        <v>21.569999999999997</v>
      </c>
      <c r="AA34" s="19">
        <v>29</v>
      </c>
      <c r="AB34" s="20">
        <f t="shared" si="1"/>
        <v>21.57</v>
      </c>
      <c r="AC34" s="20">
        <f t="shared" si="2"/>
        <v>21.57</v>
      </c>
    </row>
    <row r="35" spans="1:29" ht="14.25" customHeight="1" x14ac:dyDescent="0.25">
      <c r="A35" s="16">
        <v>30</v>
      </c>
      <c r="B35" s="21">
        <f>'[1]OCT 30'!B22</f>
        <v>21.57</v>
      </c>
      <c r="C35" s="21">
        <f>'[1]OCT 30'!C22</f>
        <v>21.57</v>
      </c>
      <c r="D35" s="21">
        <f>'[1]OCT 30'!D22</f>
        <v>21.57</v>
      </c>
      <c r="E35" s="21">
        <f>'[1]OCT 30'!E22</f>
        <v>21.57</v>
      </c>
      <c r="F35" s="21">
        <f>'[1]OCT 30'!F22</f>
        <v>21.57</v>
      </c>
      <c r="G35" s="21">
        <f>'[1]OCT 30'!G22</f>
        <v>21.57</v>
      </c>
      <c r="H35" s="21">
        <f>'[1]OCT 30'!H22</f>
        <v>21.57</v>
      </c>
      <c r="I35" s="21">
        <f>'[1]OCT 30'!I22</f>
        <v>21.57</v>
      </c>
      <c r="J35" s="21">
        <f>'[1]OCT 30'!J22</f>
        <v>21.57</v>
      </c>
      <c r="K35" s="21">
        <f>'[1]OCT 30'!K22</f>
        <v>21.57</v>
      </c>
      <c r="L35" s="21">
        <f>'[1]OCT 30'!L22</f>
        <v>21.57</v>
      </c>
      <c r="M35" s="21">
        <f>'[1]OCT 30'!M22</f>
        <v>21.57</v>
      </c>
      <c r="N35" s="21">
        <f>'[1]OCT 30'!N22</f>
        <v>21.57</v>
      </c>
      <c r="O35" s="21">
        <f>'[1]OCT 30'!O22</f>
        <v>21.57</v>
      </c>
      <c r="P35" s="21">
        <f>'[1]OCT 30'!P22</f>
        <v>21.57</v>
      </c>
      <c r="Q35" s="21">
        <f>'[1]OCT 30'!Q22</f>
        <v>21.57</v>
      </c>
      <c r="R35" s="21">
        <f>'[1]OCT 30'!R22</f>
        <v>21.57</v>
      </c>
      <c r="S35" s="21">
        <f>'[1]OCT 30'!S22</f>
        <v>21.57</v>
      </c>
      <c r="T35" s="21" t="str">
        <f>'[1]OCT 30'!T22</f>
        <v>**</v>
      </c>
      <c r="U35" s="21">
        <f>'[1]OCT 30'!U22</f>
        <v>21.57</v>
      </c>
      <c r="V35" s="21">
        <f>'[1]OCT 30'!V22</f>
        <v>21.57</v>
      </c>
      <c r="W35" s="21">
        <f>'[1]OCT 30'!W22</f>
        <v>21.57</v>
      </c>
      <c r="X35" s="21">
        <f>'[1]OCT 30'!X22</f>
        <v>21.57</v>
      </c>
      <c r="Y35" s="21">
        <f>'[1]OCT 30'!Y22</f>
        <v>21.57</v>
      </c>
      <c r="Z35" s="18">
        <f t="shared" si="0"/>
        <v>21.569999999999997</v>
      </c>
      <c r="AA35" s="19">
        <v>30</v>
      </c>
      <c r="AB35" s="20">
        <f t="shared" si="1"/>
        <v>21.57</v>
      </c>
      <c r="AC35" s="20">
        <f>MIN(B35:Y35)</f>
        <v>21.57</v>
      </c>
    </row>
    <row r="36" spans="1:29" ht="14.25" customHeight="1" x14ac:dyDescent="0.2">
      <c r="A36" s="16" t="s">
        <v>9</v>
      </c>
      <c r="B36" s="21"/>
      <c r="C36" s="21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18">
        <f>AVERAGE(Z6:Z35)</f>
        <v>21.63738611111112</v>
      </c>
      <c r="AA36" s="10"/>
      <c r="AB36" s="10"/>
      <c r="AC36" s="10"/>
    </row>
    <row r="37" spans="1:29" ht="14.25" customHeight="1" x14ac:dyDescent="0.2">
      <c r="A37" s="16" t="s">
        <v>13</v>
      </c>
      <c r="B37" s="25"/>
      <c r="C37" s="25"/>
      <c r="D37" s="25"/>
      <c r="E37" s="26">
        <f>AVERAGE(E6:E35)</f>
        <v>21.635666666666673</v>
      </c>
      <c r="F37" s="25"/>
      <c r="G37" s="25"/>
      <c r="H37" s="25"/>
      <c r="I37" s="27"/>
      <c r="J37" s="27">
        <f>AVERAGE(J6:J35)</f>
        <v>21.683333333333341</v>
      </c>
      <c r="K37" s="27"/>
      <c r="L37" s="27"/>
      <c r="M37" s="27"/>
      <c r="N37" s="27"/>
      <c r="O37" s="27"/>
      <c r="P37" s="27"/>
      <c r="Q37" s="27"/>
      <c r="R37" s="27"/>
      <c r="S37" s="25"/>
      <c r="T37" s="25"/>
      <c r="U37" s="25"/>
      <c r="V37" s="25"/>
      <c r="W37" s="25"/>
      <c r="X37" s="25"/>
      <c r="Y37" s="26">
        <f>AVERAGE(Y6:Y35)</f>
        <v>21.640689655172419</v>
      </c>
      <c r="Z37" s="18">
        <f>AVERAGE(E37,J37,Y37)</f>
        <v>21.653229885057481</v>
      </c>
      <c r="AA37" s="28" t="s">
        <v>14</v>
      </c>
      <c r="AB37" s="29">
        <f>AVERAGE(AB6:AB35)</f>
        <v>21.752000000000006</v>
      </c>
      <c r="AC37" s="29">
        <f>AVERAGE(AC6:AC35)</f>
        <v>21.301933333333338</v>
      </c>
    </row>
    <row r="38" spans="1:29" x14ac:dyDescent="0.2">
      <c r="B38" s="30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2024-08-06T05:17:31Z</dcterms:created>
  <dcterms:modified xsi:type="dcterms:W3CDTF">2024-11-28T05:33:35Z</dcterms:modified>
</cp:coreProperties>
</file>