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C142D03-37B0-4A17-B15F-823A59F13832}" xr6:coauthVersionLast="47" xr6:coauthVersionMax="47" xr10:uidLastSave="{00000000-0000-0000-0000-000000000000}"/>
  <bookViews>
    <workbookView xWindow="-120" yWindow="-120" windowWidth="29040" windowHeight="15720" xr2:uid="{D1B1FCF2-E629-4A7D-AE38-E693CB7B9E80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C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C33" i="1" s="1"/>
  <c r="B33" i="1"/>
  <c r="AB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B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B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B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B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B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Z15" i="1" l="1"/>
  <c r="Z27" i="1"/>
  <c r="AB15" i="1"/>
  <c r="AC7" i="1"/>
  <c r="AC38" i="1" s="1"/>
  <c r="AC11" i="1"/>
  <c r="AC19" i="1"/>
  <c r="AC23" i="1"/>
  <c r="AC27" i="1"/>
  <c r="AC31" i="1"/>
  <c r="Z36" i="1"/>
  <c r="AC35" i="1"/>
  <c r="Z8" i="1"/>
  <c r="Z12" i="1"/>
  <c r="Z16" i="1"/>
  <c r="Z20" i="1"/>
  <c r="Z24" i="1"/>
  <c r="Z28" i="1"/>
  <c r="Z32" i="1"/>
  <c r="AB36" i="1"/>
  <c r="Z11" i="1"/>
  <c r="AB8" i="1"/>
  <c r="AB12" i="1"/>
  <c r="AB16" i="1"/>
  <c r="AB20" i="1"/>
  <c r="AB24" i="1"/>
  <c r="AB28" i="1"/>
  <c r="AB32" i="1"/>
  <c r="AB19" i="1"/>
  <c r="Z9" i="1"/>
  <c r="Z13" i="1"/>
  <c r="Z17" i="1"/>
  <c r="Z21" i="1"/>
  <c r="Z25" i="1"/>
  <c r="Z29" i="1"/>
  <c r="Z31" i="1"/>
  <c r="AB9" i="1"/>
  <c r="AB13" i="1"/>
  <c r="AB17" i="1"/>
  <c r="AB21" i="1"/>
  <c r="AB25" i="1"/>
  <c r="AB29" i="1"/>
  <c r="Z6" i="1"/>
  <c r="Z10" i="1"/>
  <c r="Z14" i="1"/>
  <c r="Z18" i="1"/>
  <c r="Z22" i="1"/>
  <c r="Z26" i="1"/>
  <c r="Z30" i="1"/>
  <c r="AB34" i="1"/>
  <c r="AB6" i="1"/>
  <c r="AB10" i="1"/>
  <c r="AB14" i="1"/>
  <c r="AB18" i="1"/>
  <c r="AB22" i="1"/>
  <c r="AB26" i="1"/>
  <c r="AB30" i="1"/>
  <c r="AB38" i="1" l="1"/>
  <c r="Z37" i="1"/>
</calcChain>
</file>

<file path=xl/sharedStrings.xml><?xml version="1.0" encoding="utf-8"?>
<sst xmlns="http://schemas.openxmlformats.org/spreadsheetml/2006/main" count="19" uniqueCount="17">
  <si>
    <t>FORM 2-1  HOURLY  WATERLEVEL CHART</t>
  </si>
  <si>
    <t>RECORDED DAILY HIGHEST AND LOWEST WATER ELEVATION</t>
  </si>
  <si>
    <t>July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</si>
  <si>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</si>
  <si>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</si>
  <si>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</si>
  <si>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</si>
  <si>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</si>
  <si>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July 1-31, 2023</t>
  </si>
  <si>
    <t>AVE.</t>
  </si>
  <si>
    <t>DATE</t>
  </si>
  <si>
    <t>HIGHEST</t>
  </si>
  <si>
    <t>LOWEST</t>
  </si>
  <si>
    <t>**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</si>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</sst>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0DD42F63-C7C0-4EC1-AAA2-BBA7F2191CBE}"/>
    <cellStyle name="Normal" xfId="0" builtinId="0"/>
    <cellStyle name="Normal 2" xfId="1" xr:uid="{9D5742D7-42A0-48A9-90A7-2FBB63F3A7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21.39</c:v>
                </c:pt>
                <c:pt idx="1">
                  <c:v>21.38</c:v>
                </c:pt>
                <c:pt idx="2">
                  <c:v>21.31</c:v>
                </c:pt>
                <c:pt idx="3">
                  <c:v>21.31</c:v>
                </c:pt>
                <c:pt idx="4">
                  <c:v>21.31</c:v>
                </c:pt>
                <c:pt idx="5">
                  <c:v>21.31</c:v>
                </c:pt>
                <c:pt idx="6">
                  <c:v>21.31</c:v>
                </c:pt>
                <c:pt idx="7">
                  <c:v>21.31</c:v>
                </c:pt>
                <c:pt idx="8">
                  <c:v>21.31</c:v>
                </c:pt>
                <c:pt idx="9">
                  <c:v>21.31</c:v>
                </c:pt>
                <c:pt idx="10">
                  <c:v>21.31</c:v>
                </c:pt>
                <c:pt idx="11">
                  <c:v>21.39</c:v>
                </c:pt>
                <c:pt idx="12">
                  <c:v>22.86</c:v>
                </c:pt>
                <c:pt idx="13">
                  <c:v>22.12</c:v>
                </c:pt>
                <c:pt idx="14">
                  <c:v>22.49</c:v>
                </c:pt>
                <c:pt idx="15">
                  <c:v>22.7</c:v>
                </c:pt>
                <c:pt idx="16">
                  <c:v>22.05</c:v>
                </c:pt>
                <c:pt idx="17">
                  <c:v>21.63</c:v>
                </c:pt>
                <c:pt idx="18">
                  <c:v>21.55</c:v>
                </c:pt>
                <c:pt idx="19">
                  <c:v>21.43</c:v>
                </c:pt>
                <c:pt idx="20">
                  <c:v>21.33</c:v>
                </c:pt>
                <c:pt idx="21">
                  <c:v>21.32</c:v>
                </c:pt>
                <c:pt idx="22">
                  <c:v>21.82</c:v>
                </c:pt>
                <c:pt idx="23">
                  <c:v>22.53</c:v>
                </c:pt>
                <c:pt idx="24">
                  <c:v>22.68</c:v>
                </c:pt>
                <c:pt idx="25">
                  <c:v>24.75</c:v>
                </c:pt>
                <c:pt idx="26">
                  <c:v>24.98</c:v>
                </c:pt>
                <c:pt idx="27">
                  <c:v>0</c:v>
                </c:pt>
                <c:pt idx="28">
                  <c:v>24.91</c:v>
                </c:pt>
                <c:pt idx="29">
                  <c:v>22.95</c:v>
                </c:pt>
                <c:pt idx="30">
                  <c:v>22.99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8-4139-AC7B-E7EDC65AAB8E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21.31</c:v>
                </c:pt>
                <c:pt idx="1">
                  <c:v>21.31</c:v>
                </c:pt>
                <c:pt idx="2">
                  <c:v>21.31</c:v>
                </c:pt>
                <c:pt idx="3">
                  <c:v>21.31</c:v>
                </c:pt>
                <c:pt idx="4">
                  <c:v>21.31</c:v>
                </c:pt>
                <c:pt idx="5">
                  <c:v>21.31</c:v>
                </c:pt>
                <c:pt idx="6">
                  <c:v>21.31</c:v>
                </c:pt>
                <c:pt idx="7">
                  <c:v>21.31</c:v>
                </c:pt>
                <c:pt idx="8">
                  <c:v>21.31</c:v>
                </c:pt>
                <c:pt idx="9">
                  <c:v>21.31</c:v>
                </c:pt>
                <c:pt idx="10">
                  <c:v>21.31</c:v>
                </c:pt>
                <c:pt idx="11">
                  <c:v>21.31</c:v>
                </c:pt>
                <c:pt idx="12">
                  <c:v>21.31</c:v>
                </c:pt>
                <c:pt idx="13">
                  <c:v>21.58</c:v>
                </c:pt>
                <c:pt idx="14">
                  <c:v>21.68</c:v>
                </c:pt>
                <c:pt idx="15">
                  <c:v>22.08</c:v>
                </c:pt>
                <c:pt idx="16">
                  <c:v>21.63</c:v>
                </c:pt>
                <c:pt idx="17">
                  <c:v>21.55</c:v>
                </c:pt>
                <c:pt idx="18">
                  <c:v>21.43</c:v>
                </c:pt>
                <c:pt idx="19">
                  <c:v>21.33</c:v>
                </c:pt>
                <c:pt idx="20">
                  <c:v>21.31</c:v>
                </c:pt>
                <c:pt idx="21">
                  <c:v>21.32</c:v>
                </c:pt>
                <c:pt idx="22">
                  <c:v>21.31</c:v>
                </c:pt>
                <c:pt idx="23">
                  <c:v>21.56</c:v>
                </c:pt>
                <c:pt idx="24">
                  <c:v>21.6</c:v>
                </c:pt>
                <c:pt idx="25">
                  <c:v>22.47</c:v>
                </c:pt>
                <c:pt idx="26">
                  <c:v>24</c:v>
                </c:pt>
                <c:pt idx="27">
                  <c:v>0</c:v>
                </c:pt>
                <c:pt idx="28">
                  <c:v>24.11</c:v>
                </c:pt>
                <c:pt idx="29">
                  <c:v>22.8</c:v>
                </c:pt>
                <c:pt idx="30">
                  <c:v>22.75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B8-4139-AC7B-E7EDC65A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B917D76-227B-4703-A10E-57067D832D5A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8D3F8E2-5B15-4FF4-833F-37306C4A484A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47CE3ABA-27DD-461E-A760-5C0B7FDCBC3F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5B248C-5F3C-4A3B-8348-3A066851B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00AEDF9-1CC0-4B06-A654-6470A1FA3CBF}"/>
            </a:ext>
          </a:extLst>
        </xdr:cNvPr>
        <xdr:cNvSpPr txBox="1"/>
      </xdr:nvSpPr>
      <xdr:spPr>
        <a:xfrm rot="16200000">
          <a:off x="116733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2F9E552-75F6-45C2-A18B-657CB40DF704}"/>
            </a:ext>
          </a:extLst>
        </xdr:cNvPr>
        <xdr:cNvSpPr txBox="1"/>
      </xdr:nvSpPr>
      <xdr:spPr>
        <a:xfrm>
          <a:off x="156773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7.%20JUL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l1"/>
      <sheetName val="Jul2"/>
      <sheetName val="Jul3"/>
      <sheetName val="Jul4"/>
      <sheetName val="JUL5"/>
      <sheetName val="Jul6"/>
      <sheetName val="Jul7"/>
      <sheetName val="Jul8"/>
      <sheetName val="Jul9"/>
      <sheetName val="Jul10"/>
      <sheetName val="Jul11"/>
      <sheetName val="Jul12"/>
      <sheetName val="Jul13"/>
      <sheetName val="Jul14"/>
      <sheetName val="Jul15"/>
      <sheetName val="Jul16"/>
      <sheetName val="Jul17"/>
      <sheetName val="Jul18"/>
      <sheetName val="Jul19"/>
      <sheetName val="Jul20"/>
      <sheetName val="Jul21"/>
      <sheetName val="Jul22"/>
      <sheetName val="Jul23"/>
      <sheetName val="Jul24"/>
      <sheetName val="Jul25"/>
      <sheetName val="Jul26"/>
      <sheetName val="Jul27"/>
      <sheetName val="Jul28"/>
      <sheetName val="Jul29"/>
      <sheetName val="Jul30"/>
      <sheetName val="Jul31"/>
      <sheetName val="MT. CAMPANA"/>
      <sheetName val="BOSO BOSO"/>
      <sheetName val="ARIES"/>
      <sheetName val="MT. ORO"/>
      <sheetName val="NANGKA RGS"/>
      <sheetName val="MONTALBAN"/>
      <sheetName val="NANGKA WLGS"/>
      <sheetName val="STO.NINO"/>
      <sheetName val="NAPINDAN RGS"/>
      <sheetName val="SCIENCE GARDEN"/>
      <sheetName val="ROSARIO JS"/>
      <sheetName val="ROSARIO LS"/>
      <sheetName val="NAPINDAN JS"/>
      <sheetName val="NAPINDAN LS"/>
      <sheetName val="SAN JUAN"/>
      <sheetName val="PANDACAN"/>
      <sheetName val="FORT SANTIAGO"/>
      <sheetName val="ANGONO"/>
    </sheetNames>
    <sheetDataSet>
      <sheetData sheetId="0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21.35</v>
          </cell>
          <cell r="S22">
            <v>21.36</v>
          </cell>
          <cell r="T22">
            <v>21.39</v>
          </cell>
          <cell r="U22">
            <v>21.38</v>
          </cell>
          <cell r="V22">
            <v>21.38</v>
          </cell>
          <cell r="W22">
            <v>21.38</v>
          </cell>
          <cell r="X22">
            <v>21.38</v>
          </cell>
          <cell r="Y22">
            <v>21.38</v>
          </cell>
        </row>
      </sheetData>
      <sheetData sheetId="1">
        <row r="22">
          <cell r="B22">
            <v>21.38</v>
          </cell>
          <cell r="C22">
            <v>21.38</v>
          </cell>
          <cell r="D22">
            <v>21.38</v>
          </cell>
          <cell r="E22">
            <v>21.38</v>
          </cell>
          <cell r="F22">
            <v>21.38</v>
          </cell>
          <cell r="G22">
            <v>21.37</v>
          </cell>
          <cell r="H22">
            <v>21.36</v>
          </cell>
          <cell r="I22">
            <v>21.36</v>
          </cell>
          <cell r="J22">
            <v>21.36</v>
          </cell>
          <cell r="K22">
            <v>21.35</v>
          </cell>
          <cell r="L22">
            <v>21.35</v>
          </cell>
          <cell r="M22">
            <v>21.34</v>
          </cell>
          <cell r="N22">
            <v>21.34</v>
          </cell>
          <cell r="O22">
            <v>21.34</v>
          </cell>
          <cell r="P22">
            <v>21.32</v>
          </cell>
          <cell r="Q22">
            <v>21.32</v>
          </cell>
          <cell r="R22">
            <v>21.32</v>
          </cell>
          <cell r="S22">
            <v>21.32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2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3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4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5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 t="str">
            <v>**</v>
          </cell>
          <cell r="P22" t="str">
            <v>**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6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7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8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9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10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11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21.39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21.31</v>
          </cell>
          <cell r="P22">
            <v>21.31</v>
          </cell>
          <cell r="Q22">
            <v>21.31</v>
          </cell>
          <cell r="R22">
            <v>21.31</v>
          </cell>
          <cell r="S22">
            <v>21.31</v>
          </cell>
          <cell r="T22">
            <v>21.31</v>
          </cell>
          <cell r="U22">
            <v>21.31</v>
          </cell>
          <cell r="V22">
            <v>21.31</v>
          </cell>
          <cell r="W22">
            <v>21.31</v>
          </cell>
          <cell r="X22">
            <v>21.31</v>
          </cell>
          <cell r="Y22">
            <v>21.31</v>
          </cell>
        </row>
      </sheetData>
      <sheetData sheetId="12">
        <row r="22">
          <cell r="B22">
            <v>21.31</v>
          </cell>
          <cell r="C22">
            <v>21.31</v>
          </cell>
          <cell r="D22">
            <v>21.31</v>
          </cell>
          <cell r="E22">
            <v>21.31</v>
          </cell>
          <cell r="F22">
            <v>21.31</v>
          </cell>
          <cell r="G22">
            <v>21.31</v>
          </cell>
          <cell r="H22">
            <v>21.31</v>
          </cell>
          <cell r="I22">
            <v>21.31</v>
          </cell>
          <cell r="J22">
            <v>21.31</v>
          </cell>
          <cell r="K22">
            <v>21.31</v>
          </cell>
          <cell r="L22">
            <v>21.31</v>
          </cell>
          <cell r="M22">
            <v>21.31</v>
          </cell>
          <cell r="N22">
            <v>21.31</v>
          </cell>
          <cell r="O22">
            <v>21.85</v>
          </cell>
          <cell r="P22">
            <v>22.6</v>
          </cell>
          <cell r="Q22">
            <v>22.86</v>
          </cell>
          <cell r="R22">
            <v>22.82</v>
          </cell>
          <cell r="S22">
            <v>22.64</v>
          </cell>
          <cell r="T22">
            <v>22.48</v>
          </cell>
          <cell r="U22">
            <v>22.35</v>
          </cell>
          <cell r="V22">
            <v>22.2</v>
          </cell>
          <cell r="W22">
            <v>22.08</v>
          </cell>
          <cell r="X22">
            <v>21.96</v>
          </cell>
          <cell r="Y22">
            <v>21.83</v>
          </cell>
        </row>
      </sheetData>
      <sheetData sheetId="13">
        <row r="22">
          <cell r="B22">
            <v>21.74</v>
          </cell>
          <cell r="C22">
            <v>21.65</v>
          </cell>
          <cell r="D22" t="str">
            <v>**</v>
          </cell>
          <cell r="E22">
            <v>21.63</v>
          </cell>
          <cell r="F22">
            <v>21.62</v>
          </cell>
          <cell r="G22">
            <v>21.61</v>
          </cell>
          <cell r="H22">
            <v>21.61</v>
          </cell>
          <cell r="I22">
            <v>21.6</v>
          </cell>
          <cell r="J22">
            <v>21.59</v>
          </cell>
          <cell r="K22">
            <v>21.58</v>
          </cell>
          <cell r="L22">
            <v>21.58</v>
          </cell>
          <cell r="M22">
            <v>21.83</v>
          </cell>
          <cell r="N22">
            <v>22.12</v>
          </cell>
          <cell r="O22">
            <v>22.06</v>
          </cell>
          <cell r="P22">
            <v>21.85</v>
          </cell>
          <cell r="Q22">
            <v>21.75</v>
          </cell>
          <cell r="R22">
            <v>21.78</v>
          </cell>
          <cell r="S22">
            <v>21.85</v>
          </cell>
          <cell r="T22">
            <v>21.96</v>
          </cell>
          <cell r="U22">
            <v>22.01</v>
          </cell>
          <cell r="V22">
            <v>22.02</v>
          </cell>
          <cell r="W22">
            <v>22.01</v>
          </cell>
          <cell r="X22">
            <v>21.96</v>
          </cell>
          <cell r="Y22">
            <v>21.9</v>
          </cell>
        </row>
      </sheetData>
      <sheetData sheetId="14">
        <row r="22">
          <cell r="B22">
            <v>21.83</v>
          </cell>
          <cell r="C22">
            <v>21.72</v>
          </cell>
          <cell r="D22">
            <v>21.72</v>
          </cell>
          <cell r="E22">
            <v>21.69</v>
          </cell>
          <cell r="F22" t="str">
            <v>**</v>
          </cell>
          <cell r="G22">
            <v>21.8</v>
          </cell>
          <cell r="H22">
            <v>21.77</v>
          </cell>
          <cell r="I22">
            <v>21.73</v>
          </cell>
          <cell r="J22">
            <v>21.7</v>
          </cell>
          <cell r="K22">
            <v>21.68</v>
          </cell>
          <cell r="L22">
            <v>21.74</v>
          </cell>
          <cell r="M22">
            <v>21.86</v>
          </cell>
          <cell r="N22">
            <v>21.95</v>
          </cell>
          <cell r="O22">
            <v>21.97</v>
          </cell>
          <cell r="P22">
            <v>21.97</v>
          </cell>
          <cell r="Q22">
            <v>21.92</v>
          </cell>
          <cell r="R22">
            <v>21.86</v>
          </cell>
          <cell r="S22">
            <v>21.89</v>
          </cell>
          <cell r="T22">
            <v>22.06</v>
          </cell>
          <cell r="U22">
            <v>22.1</v>
          </cell>
          <cell r="V22">
            <v>21.99</v>
          </cell>
          <cell r="W22">
            <v>22.38</v>
          </cell>
          <cell r="X22">
            <v>22.49</v>
          </cell>
          <cell r="Y22">
            <v>22.43</v>
          </cell>
        </row>
      </sheetData>
      <sheetData sheetId="15">
        <row r="22">
          <cell r="B22">
            <v>22.42</v>
          </cell>
          <cell r="C22">
            <v>22.49</v>
          </cell>
          <cell r="D22">
            <v>22.6</v>
          </cell>
          <cell r="E22">
            <v>22.69</v>
          </cell>
          <cell r="F22">
            <v>22.7</v>
          </cell>
          <cell r="G22">
            <v>22.65</v>
          </cell>
          <cell r="H22">
            <v>22.57</v>
          </cell>
          <cell r="I22">
            <v>22.49</v>
          </cell>
          <cell r="J22">
            <v>22.4</v>
          </cell>
          <cell r="K22">
            <v>22.31</v>
          </cell>
          <cell r="L22">
            <v>22.23</v>
          </cell>
          <cell r="M22">
            <v>22.17</v>
          </cell>
          <cell r="N22">
            <v>22.12</v>
          </cell>
          <cell r="O22">
            <v>22.08</v>
          </cell>
          <cell r="P22">
            <v>22.09</v>
          </cell>
          <cell r="Q22">
            <v>22.39</v>
          </cell>
          <cell r="R22">
            <v>22.69</v>
          </cell>
          <cell r="S22">
            <v>22.6</v>
          </cell>
          <cell r="T22">
            <v>22.41</v>
          </cell>
          <cell r="U22">
            <v>22.29</v>
          </cell>
          <cell r="V22">
            <v>22.19</v>
          </cell>
          <cell r="W22">
            <v>22.13</v>
          </cell>
          <cell r="X22">
            <v>22.1</v>
          </cell>
          <cell r="Y22">
            <v>22.08</v>
          </cell>
        </row>
      </sheetData>
      <sheetData sheetId="16">
        <row r="22">
          <cell r="B22">
            <v>22.05</v>
          </cell>
          <cell r="C22">
            <v>22.01</v>
          </cell>
          <cell r="D22">
            <v>21.96</v>
          </cell>
          <cell r="E22">
            <v>21.92</v>
          </cell>
          <cell r="F22">
            <v>21.9</v>
          </cell>
          <cell r="G22">
            <v>21.93</v>
          </cell>
          <cell r="H22">
            <v>21.93</v>
          </cell>
          <cell r="I22">
            <v>21.9</v>
          </cell>
          <cell r="J22">
            <v>21.87</v>
          </cell>
          <cell r="K22">
            <v>21.84</v>
          </cell>
          <cell r="L22">
            <v>21.82</v>
          </cell>
          <cell r="M22">
            <v>21.81</v>
          </cell>
          <cell r="N22">
            <v>21.8</v>
          </cell>
          <cell r="O22">
            <v>21.77</v>
          </cell>
          <cell r="P22">
            <v>21.74</v>
          </cell>
          <cell r="Q22">
            <v>21.71</v>
          </cell>
          <cell r="R22">
            <v>21.68</v>
          </cell>
          <cell r="S22">
            <v>21.66</v>
          </cell>
          <cell r="T22">
            <v>21.65</v>
          </cell>
          <cell r="U22">
            <v>21.65</v>
          </cell>
          <cell r="V22">
            <v>21.64</v>
          </cell>
          <cell r="W22">
            <v>21.64</v>
          </cell>
          <cell r="X22">
            <v>21.63</v>
          </cell>
          <cell r="Y22">
            <v>21.63</v>
          </cell>
        </row>
      </sheetData>
      <sheetData sheetId="17">
        <row r="22">
          <cell r="B22">
            <v>21.63</v>
          </cell>
          <cell r="C22">
            <v>21.62</v>
          </cell>
          <cell r="D22">
            <v>21.62</v>
          </cell>
          <cell r="E22">
            <v>21.62</v>
          </cell>
          <cell r="F22">
            <v>21.61</v>
          </cell>
          <cell r="G22">
            <v>21.61</v>
          </cell>
          <cell r="H22">
            <v>21.61</v>
          </cell>
          <cell r="I22">
            <v>21.6</v>
          </cell>
          <cell r="J22">
            <v>21.6</v>
          </cell>
          <cell r="K22">
            <v>21.6</v>
          </cell>
          <cell r="L22">
            <v>21.59</v>
          </cell>
          <cell r="M22">
            <v>21.59</v>
          </cell>
          <cell r="N22">
            <v>21.59</v>
          </cell>
          <cell r="O22">
            <v>21.59</v>
          </cell>
          <cell r="P22">
            <v>21.58</v>
          </cell>
          <cell r="Q22">
            <v>21.58</v>
          </cell>
          <cell r="R22">
            <v>21.58</v>
          </cell>
          <cell r="S22">
            <v>21.57</v>
          </cell>
          <cell r="T22">
            <v>21.57</v>
          </cell>
          <cell r="U22">
            <v>21.57</v>
          </cell>
          <cell r="V22">
            <v>21.56</v>
          </cell>
          <cell r="W22">
            <v>21.56</v>
          </cell>
          <cell r="X22">
            <v>21.56</v>
          </cell>
          <cell r="Y22">
            <v>21.55</v>
          </cell>
        </row>
      </sheetData>
      <sheetData sheetId="18">
        <row r="22">
          <cell r="B22">
            <v>21.55</v>
          </cell>
          <cell r="C22">
            <v>21.54</v>
          </cell>
          <cell r="D22">
            <v>21.54</v>
          </cell>
          <cell r="E22">
            <v>21.54</v>
          </cell>
          <cell r="F22">
            <v>21.53</v>
          </cell>
          <cell r="G22">
            <v>21.53</v>
          </cell>
          <cell r="H22">
            <v>21.53</v>
          </cell>
          <cell r="I22">
            <v>21.52</v>
          </cell>
          <cell r="J22">
            <v>21.52</v>
          </cell>
          <cell r="K22">
            <v>21.51</v>
          </cell>
          <cell r="L22">
            <v>21.51</v>
          </cell>
          <cell r="M22">
            <v>21.5</v>
          </cell>
          <cell r="N22">
            <v>21.5</v>
          </cell>
          <cell r="O22">
            <v>21.48</v>
          </cell>
          <cell r="P22">
            <v>21.48</v>
          </cell>
          <cell r="Q22">
            <v>21.48</v>
          </cell>
          <cell r="R22">
            <v>21.47</v>
          </cell>
          <cell r="S22">
            <v>21.47</v>
          </cell>
          <cell r="T22">
            <v>21.46</v>
          </cell>
          <cell r="U22">
            <v>21.45</v>
          </cell>
          <cell r="V22">
            <v>21.45</v>
          </cell>
          <cell r="W22">
            <v>21.44</v>
          </cell>
          <cell r="X22">
            <v>21.44</v>
          </cell>
          <cell r="Y22">
            <v>21.43</v>
          </cell>
        </row>
      </sheetData>
      <sheetData sheetId="19">
        <row r="22">
          <cell r="B22">
            <v>21.43</v>
          </cell>
          <cell r="C22">
            <v>21.42</v>
          </cell>
          <cell r="D22">
            <v>21.42</v>
          </cell>
          <cell r="E22">
            <v>21.41</v>
          </cell>
          <cell r="F22">
            <v>21.41</v>
          </cell>
          <cell r="G22">
            <v>21.4</v>
          </cell>
          <cell r="H22">
            <v>21.4</v>
          </cell>
          <cell r="I22">
            <v>21.39</v>
          </cell>
          <cell r="J22">
            <v>21.39</v>
          </cell>
          <cell r="K22">
            <v>21.39</v>
          </cell>
          <cell r="L22">
            <v>21.38</v>
          </cell>
          <cell r="M22">
            <v>21.38</v>
          </cell>
          <cell r="N22">
            <v>21.37</v>
          </cell>
          <cell r="O22">
            <v>21.37</v>
          </cell>
          <cell r="P22">
            <v>21.36</v>
          </cell>
          <cell r="Q22">
            <v>21.36</v>
          </cell>
          <cell r="R22">
            <v>21.36</v>
          </cell>
          <cell r="S22">
            <v>21.35</v>
          </cell>
          <cell r="T22">
            <v>21.35</v>
          </cell>
          <cell r="U22">
            <v>21.35</v>
          </cell>
          <cell r="V22">
            <v>21.34</v>
          </cell>
          <cell r="W22">
            <v>21.33</v>
          </cell>
          <cell r="X22">
            <v>21.33</v>
          </cell>
          <cell r="Y22">
            <v>21.33</v>
          </cell>
        </row>
      </sheetData>
      <sheetData sheetId="20">
        <row r="22">
          <cell r="B22">
            <v>21.33</v>
          </cell>
          <cell r="C22">
            <v>21.32</v>
          </cell>
          <cell r="D22">
            <v>21.32</v>
          </cell>
          <cell r="E22">
            <v>21.31</v>
          </cell>
          <cell r="F22">
            <v>21.32</v>
          </cell>
          <cell r="G22">
            <v>21.32</v>
          </cell>
          <cell r="H22">
            <v>21.32</v>
          </cell>
          <cell r="I22">
            <v>21.32</v>
          </cell>
          <cell r="J22">
            <v>21.32</v>
          </cell>
          <cell r="K22">
            <v>21.32</v>
          </cell>
          <cell r="L22">
            <v>21.32</v>
          </cell>
          <cell r="M22">
            <v>21.32</v>
          </cell>
          <cell r="N22">
            <v>21.32</v>
          </cell>
          <cell r="O22">
            <v>21.32</v>
          </cell>
          <cell r="P22">
            <v>21.32</v>
          </cell>
          <cell r="Q22">
            <v>21.32</v>
          </cell>
          <cell r="R22">
            <v>21.32</v>
          </cell>
          <cell r="S22">
            <v>21.32</v>
          </cell>
          <cell r="T22">
            <v>21.32</v>
          </cell>
          <cell r="U22">
            <v>21.32</v>
          </cell>
          <cell r="V22">
            <v>21.32</v>
          </cell>
          <cell r="W22">
            <v>21.32</v>
          </cell>
          <cell r="X22">
            <v>21.32</v>
          </cell>
          <cell r="Y22">
            <v>21.32</v>
          </cell>
        </row>
      </sheetData>
      <sheetData sheetId="21">
        <row r="22">
          <cell r="B22">
            <v>21.32</v>
          </cell>
          <cell r="C22">
            <v>21.32</v>
          </cell>
          <cell r="D22">
            <v>21.32</v>
          </cell>
          <cell r="E22">
            <v>21.32</v>
          </cell>
          <cell r="F22">
            <v>21.32</v>
          </cell>
          <cell r="G22">
            <v>21.32</v>
          </cell>
          <cell r="H22">
            <v>21.32</v>
          </cell>
          <cell r="I22">
            <v>21.32</v>
          </cell>
          <cell r="J22">
            <v>21.32</v>
          </cell>
          <cell r="K22">
            <v>21.32</v>
          </cell>
          <cell r="L22">
            <v>21.32</v>
          </cell>
          <cell r="M22">
            <v>21.32</v>
          </cell>
          <cell r="N22">
            <v>21.32</v>
          </cell>
          <cell r="O22">
            <v>21.32</v>
          </cell>
          <cell r="P22">
            <v>21.32</v>
          </cell>
          <cell r="Q22">
            <v>21.32</v>
          </cell>
          <cell r="R22">
            <v>21.32</v>
          </cell>
          <cell r="S22">
            <v>21.32</v>
          </cell>
          <cell r="T22">
            <v>21.32</v>
          </cell>
          <cell r="U22">
            <v>21.32</v>
          </cell>
          <cell r="V22">
            <v>21.32</v>
          </cell>
          <cell r="W22">
            <v>21.32</v>
          </cell>
          <cell r="X22">
            <v>21.32</v>
          </cell>
          <cell r="Y22">
            <v>21.32</v>
          </cell>
        </row>
      </sheetData>
      <sheetData sheetId="22">
        <row r="22">
          <cell r="B22">
            <v>21.32</v>
          </cell>
          <cell r="C22">
            <v>21.32</v>
          </cell>
          <cell r="D22">
            <v>21.32</v>
          </cell>
          <cell r="E22">
            <v>21.32</v>
          </cell>
          <cell r="F22">
            <v>21.31</v>
          </cell>
          <cell r="G22">
            <v>21.32</v>
          </cell>
          <cell r="H22">
            <v>21.32</v>
          </cell>
          <cell r="I22">
            <v>21.32</v>
          </cell>
          <cell r="J22">
            <v>21.32</v>
          </cell>
          <cell r="K22">
            <v>21.32</v>
          </cell>
          <cell r="L22">
            <v>21.32</v>
          </cell>
          <cell r="M22">
            <v>21.32</v>
          </cell>
          <cell r="N22">
            <v>21.32</v>
          </cell>
          <cell r="O22">
            <v>21.7</v>
          </cell>
          <cell r="P22">
            <v>21.63</v>
          </cell>
          <cell r="Q22">
            <v>21.62</v>
          </cell>
          <cell r="R22">
            <v>21.61</v>
          </cell>
          <cell r="S22">
            <v>21.73</v>
          </cell>
          <cell r="T22">
            <v>21.81</v>
          </cell>
          <cell r="U22">
            <v>21.82</v>
          </cell>
          <cell r="V22">
            <v>21.78</v>
          </cell>
          <cell r="W22">
            <v>21.71</v>
          </cell>
          <cell r="X22">
            <v>21.64</v>
          </cell>
          <cell r="Y22">
            <v>21.63</v>
          </cell>
        </row>
      </sheetData>
      <sheetData sheetId="23">
        <row r="22">
          <cell r="B22">
            <v>21.62</v>
          </cell>
          <cell r="C22">
            <v>21.62</v>
          </cell>
          <cell r="D22">
            <v>21.62</v>
          </cell>
          <cell r="E22">
            <v>21.61</v>
          </cell>
          <cell r="F22">
            <v>21.61</v>
          </cell>
          <cell r="G22">
            <v>21.6</v>
          </cell>
          <cell r="H22">
            <v>21.6</v>
          </cell>
          <cell r="I22">
            <v>21.59</v>
          </cell>
          <cell r="J22">
            <v>21.58</v>
          </cell>
          <cell r="K22">
            <v>21.58</v>
          </cell>
          <cell r="L22">
            <v>21.57</v>
          </cell>
          <cell r="M22">
            <v>21.56</v>
          </cell>
          <cell r="N22">
            <v>21.56</v>
          </cell>
          <cell r="O22">
            <v>21.77</v>
          </cell>
          <cell r="P22" t="str">
            <v>**</v>
          </cell>
          <cell r="Q22" t="str">
            <v>**</v>
          </cell>
          <cell r="R22" t="str">
            <v>**</v>
          </cell>
          <cell r="S22" t="str">
            <v>**</v>
          </cell>
          <cell r="T22">
            <v>22.53</v>
          </cell>
          <cell r="U22">
            <v>22.53</v>
          </cell>
          <cell r="V22">
            <v>22.29</v>
          </cell>
          <cell r="W22">
            <v>22.14</v>
          </cell>
          <cell r="X22">
            <v>22.04</v>
          </cell>
          <cell r="Y22">
            <v>21.92</v>
          </cell>
        </row>
      </sheetData>
      <sheetData sheetId="24">
        <row r="22">
          <cell r="B22">
            <v>21.83</v>
          </cell>
          <cell r="C22">
            <v>21.75</v>
          </cell>
          <cell r="D22">
            <v>21.69</v>
          </cell>
          <cell r="E22">
            <v>21.65</v>
          </cell>
          <cell r="F22">
            <v>21.64</v>
          </cell>
          <cell r="G22">
            <v>21.63</v>
          </cell>
          <cell r="H22">
            <v>21.63</v>
          </cell>
          <cell r="I22">
            <v>21.63</v>
          </cell>
          <cell r="J22">
            <v>21.62</v>
          </cell>
          <cell r="K22">
            <v>21.62</v>
          </cell>
          <cell r="L22">
            <v>21.61</v>
          </cell>
          <cell r="M22">
            <v>21.61</v>
          </cell>
          <cell r="N22">
            <v>21.61</v>
          </cell>
          <cell r="O22">
            <v>21.61</v>
          </cell>
          <cell r="P22">
            <v>21.6</v>
          </cell>
          <cell r="Q22">
            <v>21.6</v>
          </cell>
          <cell r="R22">
            <v>21.6</v>
          </cell>
          <cell r="S22">
            <v>21.6</v>
          </cell>
          <cell r="T22">
            <v>21.6</v>
          </cell>
          <cell r="U22">
            <v>21.84</v>
          </cell>
          <cell r="V22">
            <v>21.99</v>
          </cell>
          <cell r="W22">
            <v>22.31</v>
          </cell>
          <cell r="X22">
            <v>22.57</v>
          </cell>
          <cell r="Y22">
            <v>22.68</v>
          </cell>
        </row>
      </sheetData>
      <sheetData sheetId="25">
        <row r="22">
          <cell r="B22">
            <v>22.69</v>
          </cell>
          <cell r="C22">
            <v>22.71</v>
          </cell>
          <cell r="D22">
            <v>22.66</v>
          </cell>
          <cell r="E22">
            <v>22.56</v>
          </cell>
          <cell r="F22">
            <v>22.47</v>
          </cell>
          <cell r="G22">
            <v>22.52</v>
          </cell>
          <cell r="H22">
            <v>22.64</v>
          </cell>
          <cell r="I22">
            <v>22.66</v>
          </cell>
          <cell r="J22">
            <v>22.61</v>
          </cell>
          <cell r="K22">
            <v>22.65</v>
          </cell>
          <cell r="L22">
            <v>22.69</v>
          </cell>
          <cell r="M22">
            <v>22.8</v>
          </cell>
          <cell r="N22">
            <v>22.87</v>
          </cell>
          <cell r="O22">
            <v>22.86</v>
          </cell>
          <cell r="P22">
            <v>22.99</v>
          </cell>
          <cell r="Q22" t="str">
            <v>**</v>
          </cell>
          <cell r="R22" t="str">
            <v>**</v>
          </cell>
          <cell r="S22">
            <v>24</v>
          </cell>
          <cell r="T22">
            <v>24.04</v>
          </cell>
          <cell r="U22">
            <v>24.36</v>
          </cell>
          <cell r="V22">
            <v>24.52</v>
          </cell>
          <cell r="W22">
            <v>24.75</v>
          </cell>
          <cell r="X22" t="str">
            <v>**</v>
          </cell>
          <cell r="Y22" t="str">
            <v>**</v>
          </cell>
        </row>
      </sheetData>
      <sheetData sheetId="26">
        <row r="22">
          <cell r="B22" t="str">
            <v>**</v>
          </cell>
          <cell r="C22" t="str">
            <v>**</v>
          </cell>
          <cell r="D22" t="str">
            <v>**</v>
          </cell>
          <cell r="E22">
            <v>24.98</v>
          </cell>
          <cell r="F22">
            <v>24.78</v>
          </cell>
          <cell r="G22">
            <v>24.61</v>
          </cell>
          <cell r="H22">
            <v>24.58</v>
          </cell>
          <cell r="I22">
            <v>24.47</v>
          </cell>
          <cell r="J22">
            <v>24.33</v>
          </cell>
          <cell r="K22">
            <v>24.2</v>
          </cell>
          <cell r="L22">
            <v>24.16</v>
          </cell>
          <cell r="M22">
            <v>24.1</v>
          </cell>
          <cell r="N22" t="str">
            <v>**</v>
          </cell>
          <cell r="O22" t="str">
            <v>**</v>
          </cell>
          <cell r="P22" t="str">
            <v>**</v>
          </cell>
          <cell r="Q22" t="str">
            <v>**</v>
          </cell>
          <cell r="R22" t="str">
            <v>**</v>
          </cell>
          <cell r="S22" t="str">
            <v>**</v>
          </cell>
          <cell r="T22" t="str">
            <v>**</v>
          </cell>
          <cell r="U22" t="str">
            <v>**</v>
          </cell>
          <cell r="V22" t="str">
            <v>**</v>
          </cell>
          <cell r="W22" t="str">
            <v>**</v>
          </cell>
          <cell r="X22" t="str">
            <v>**</v>
          </cell>
          <cell r="Y22">
            <v>24</v>
          </cell>
        </row>
      </sheetData>
      <sheetData sheetId="27">
        <row r="22">
          <cell r="B22" t="str">
            <v>**</v>
          </cell>
          <cell r="C22" t="str">
            <v>**</v>
          </cell>
          <cell r="D22" t="str">
            <v>**</v>
          </cell>
          <cell r="E22" t="str">
            <v>**</v>
          </cell>
          <cell r="F22" t="str">
            <v>**</v>
          </cell>
          <cell r="G22" t="str">
            <v>**</v>
          </cell>
          <cell r="H22" t="str">
            <v>**</v>
          </cell>
          <cell r="I22" t="str">
            <v>**</v>
          </cell>
          <cell r="J22" t="str">
            <v>**</v>
          </cell>
          <cell r="K22" t="str">
            <v>**</v>
          </cell>
          <cell r="L22" t="str">
            <v>**</v>
          </cell>
          <cell r="M22" t="str">
            <v>**</v>
          </cell>
          <cell r="N22" t="str">
            <v>**</v>
          </cell>
          <cell r="O22" t="str">
            <v>**</v>
          </cell>
          <cell r="P22" t="str">
            <v>**</v>
          </cell>
          <cell r="Q22" t="str">
            <v>**</v>
          </cell>
          <cell r="R22" t="str">
            <v>**</v>
          </cell>
          <cell r="S22" t="str">
            <v>**</v>
          </cell>
          <cell r="T22" t="str">
            <v>**</v>
          </cell>
          <cell r="U22" t="str">
            <v>**</v>
          </cell>
          <cell r="V22" t="str">
            <v>**</v>
          </cell>
          <cell r="W22" t="str">
            <v>**</v>
          </cell>
          <cell r="X22" t="str">
            <v>**</v>
          </cell>
          <cell r="Y22" t="str">
            <v>**</v>
          </cell>
        </row>
      </sheetData>
      <sheetData sheetId="28">
        <row r="22">
          <cell r="B22" t="str">
            <v>**</v>
          </cell>
          <cell r="C22" t="str">
            <v>**</v>
          </cell>
          <cell r="D22" t="str">
            <v>**</v>
          </cell>
          <cell r="E22" t="str">
            <v>**</v>
          </cell>
          <cell r="F22" t="str">
            <v>**</v>
          </cell>
          <cell r="G22" t="str">
            <v>**</v>
          </cell>
          <cell r="H22" t="str">
            <v>**</v>
          </cell>
          <cell r="I22" t="str">
            <v>**</v>
          </cell>
          <cell r="J22" t="str">
            <v>**</v>
          </cell>
          <cell r="K22" t="str">
            <v>**</v>
          </cell>
          <cell r="L22" t="str">
            <v>**</v>
          </cell>
          <cell r="M22" t="str">
            <v>**</v>
          </cell>
          <cell r="N22" t="str">
            <v>**</v>
          </cell>
          <cell r="O22" t="str">
            <v>**</v>
          </cell>
          <cell r="P22" t="str">
            <v>**</v>
          </cell>
          <cell r="Q22" t="str">
            <v>**</v>
          </cell>
          <cell r="R22">
            <v>24.91</v>
          </cell>
          <cell r="S22">
            <v>24.81</v>
          </cell>
          <cell r="T22">
            <v>24.7</v>
          </cell>
          <cell r="U22">
            <v>24.58</v>
          </cell>
          <cell r="V22">
            <v>24.41</v>
          </cell>
          <cell r="W22">
            <v>24.27</v>
          </cell>
          <cell r="X22">
            <v>24.11</v>
          </cell>
          <cell r="Y22" t="str">
            <v>**</v>
          </cell>
        </row>
      </sheetData>
      <sheetData sheetId="29">
        <row r="22">
          <cell r="B22" t="str">
            <v>**</v>
          </cell>
          <cell r="C22" t="str">
            <v>**</v>
          </cell>
          <cell r="D22" t="str">
            <v>**</v>
          </cell>
          <cell r="E22" t="str">
            <v>**</v>
          </cell>
          <cell r="F22" t="str">
            <v>**</v>
          </cell>
          <cell r="G22" t="str">
            <v>**</v>
          </cell>
          <cell r="H22" t="str">
            <v>**</v>
          </cell>
          <cell r="I22" t="str">
            <v>**</v>
          </cell>
          <cell r="J22" t="str">
            <v>**</v>
          </cell>
          <cell r="K22" t="str">
            <v>**</v>
          </cell>
          <cell r="L22" t="str">
            <v>**</v>
          </cell>
          <cell r="M22" t="str">
            <v>**</v>
          </cell>
          <cell r="N22" t="str">
            <v>***</v>
          </cell>
          <cell r="O22">
            <v>22.95</v>
          </cell>
          <cell r="P22">
            <v>22.9</v>
          </cell>
          <cell r="Q22">
            <v>22.87</v>
          </cell>
          <cell r="R22">
            <v>22.85</v>
          </cell>
          <cell r="S22">
            <v>22.8</v>
          </cell>
          <cell r="T22">
            <v>22.81</v>
          </cell>
          <cell r="U22">
            <v>22.83</v>
          </cell>
          <cell r="V22">
            <v>22.84</v>
          </cell>
          <cell r="W22">
            <v>22.84</v>
          </cell>
          <cell r="X22">
            <v>22.83</v>
          </cell>
          <cell r="Y22">
            <v>22.88</v>
          </cell>
        </row>
      </sheetData>
      <sheetData sheetId="30">
        <row r="22">
          <cell r="B22">
            <v>22.92</v>
          </cell>
          <cell r="C22">
            <v>22.96</v>
          </cell>
          <cell r="D22">
            <v>22.96</v>
          </cell>
          <cell r="E22">
            <v>22.94</v>
          </cell>
          <cell r="F22">
            <v>22.92</v>
          </cell>
          <cell r="G22">
            <v>22.92</v>
          </cell>
          <cell r="H22">
            <v>22.94</v>
          </cell>
          <cell r="I22">
            <v>22.99</v>
          </cell>
          <cell r="J22" t="str">
            <v>**</v>
          </cell>
          <cell r="K22" t="str">
            <v>**</v>
          </cell>
          <cell r="L22" t="str">
            <v>**</v>
          </cell>
          <cell r="M22" t="str">
            <v>**</v>
          </cell>
          <cell r="N22" t="str">
            <v>**</v>
          </cell>
          <cell r="O22" t="str">
            <v>**</v>
          </cell>
          <cell r="P22" t="str">
            <v>**</v>
          </cell>
          <cell r="Q22">
            <v>22.98</v>
          </cell>
          <cell r="R22">
            <v>22.91</v>
          </cell>
          <cell r="S22">
            <v>22.86</v>
          </cell>
          <cell r="T22">
            <v>22.8</v>
          </cell>
          <cell r="U22">
            <v>22.79</v>
          </cell>
          <cell r="V22">
            <v>22.75</v>
          </cell>
          <cell r="W22">
            <v>22.8</v>
          </cell>
          <cell r="X22">
            <v>22.77</v>
          </cell>
          <cell r="Y22">
            <v>22.8</v>
          </cell>
        </row>
      </sheetData>
      <sheetData sheetId="31"/>
      <sheetData sheetId="32"/>
      <sheetData sheetId="33"/>
      <sheetData sheetId="34"/>
      <sheetData sheetId="35"/>
      <sheetData sheetId="36">
        <row r="6">
          <cell r="AB6">
            <v>21.39</v>
          </cell>
          <cell r="AC6">
            <v>21.31</v>
          </cell>
        </row>
        <row r="7">
          <cell r="AB7">
            <v>21.38</v>
          </cell>
          <cell r="AC7">
            <v>21.31</v>
          </cell>
        </row>
        <row r="8">
          <cell r="AB8">
            <v>21.31</v>
          </cell>
          <cell r="AC8">
            <v>21.31</v>
          </cell>
        </row>
        <row r="9">
          <cell r="AB9">
            <v>21.31</v>
          </cell>
          <cell r="AC9">
            <v>21.31</v>
          </cell>
        </row>
        <row r="10">
          <cell r="AB10">
            <v>21.31</v>
          </cell>
          <cell r="AC10">
            <v>21.31</v>
          </cell>
        </row>
        <row r="11">
          <cell r="AB11">
            <v>21.31</v>
          </cell>
          <cell r="AC11">
            <v>21.31</v>
          </cell>
        </row>
        <row r="12">
          <cell r="AB12">
            <v>21.31</v>
          </cell>
          <cell r="AC12">
            <v>21.31</v>
          </cell>
        </row>
        <row r="13">
          <cell r="AB13">
            <v>21.31</v>
          </cell>
          <cell r="AC13">
            <v>21.31</v>
          </cell>
        </row>
        <row r="14">
          <cell r="AB14">
            <v>21.31</v>
          </cell>
          <cell r="AC14">
            <v>21.31</v>
          </cell>
        </row>
        <row r="15">
          <cell r="AB15">
            <v>21.31</v>
          </cell>
          <cell r="AC15">
            <v>21.31</v>
          </cell>
        </row>
        <row r="16">
          <cell r="AB16">
            <v>21.31</v>
          </cell>
          <cell r="AC16">
            <v>21.31</v>
          </cell>
        </row>
        <row r="17">
          <cell r="AB17">
            <v>21.39</v>
          </cell>
          <cell r="AC17">
            <v>21.31</v>
          </cell>
        </row>
        <row r="18">
          <cell r="AB18">
            <v>22.86</v>
          </cell>
          <cell r="AC18">
            <v>21.31</v>
          </cell>
        </row>
        <row r="19">
          <cell r="AB19">
            <v>22.12</v>
          </cell>
          <cell r="AC19">
            <v>21.58</v>
          </cell>
        </row>
        <row r="20">
          <cell r="AB20">
            <v>22.49</v>
          </cell>
          <cell r="AC20">
            <v>21.68</v>
          </cell>
        </row>
        <row r="21">
          <cell r="AB21">
            <v>22.7</v>
          </cell>
          <cell r="AC21">
            <v>22.08</v>
          </cell>
        </row>
        <row r="22">
          <cell r="AB22">
            <v>22.05</v>
          </cell>
          <cell r="AC22">
            <v>21.63</v>
          </cell>
        </row>
        <row r="23">
          <cell r="AB23">
            <v>21.63</v>
          </cell>
          <cell r="AC23">
            <v>21.55</v>
          </cell>
        </row>
        <row r="24">
          <cell r="AB24">
            <v>21.55</v>
          </cell>
          <cell r="AC24">
            <v>21.43</v>
          </cell>
        </row>
        <row r="25">
          <cell r="AB25">
            <v>21.43</v>
          </cell>
          <cell r="AC25">
            <v>21.33</v>
          </cell>
        </row>
        <row r="26">
          <cell r="AB26">
            <v>21.33</v>
          </cell>
          <cell r="AC26">
            <v>21.31</v>
          </cell>
        </row>
        <row r="27">
          <cell r="AB27">
            <v>21.32</v>
          </cell>
          <cell r="AC27">
            <v>21.32</v>
          </cell>
        </row>
        <row r="28">
          <cell r="AB28">
            <v>21.82</v>
          </cell>
          <cell r="AC28">
            <v>21.31</v>
          </cell>
        </row>
        <row r="29">
          <cell r="AB29">
            <v>22.53</v>
          </cell>
          <cell r="AC29">
            <v>21.56</v>
          </cell>
        </row>
        <row r="30">
          <cell r="AB30">
            <v>22.68</v>
          </cell>
          <cell r="AC30">
            <v>21.6</v>
          </cell>
        </row>
        <row r="31">
          <cell r="AB31">
            <v>24.75</v>
          </cell>
          <cell r="AC31">
            <v>22.47</v>
          </cell>
        </row>
        <row r="32">
          <cell r="AB32">
            <v>24.98</v>
          </cell>
          <cell r="AC32">
            <v>24</v>
          </cell>
        </row>
        <row r="33">
          <cell r="AB33">
            <v>0</v>
          </cell>
          <cell r="AC33">
            <v>0</v>
          </cell>
        </row>
        <row r="34">
          <cell r="AB34">
            <v>24.91</v>
          </cell>
          <cell r="AC34">
            <v>24.11</v>
          </cell>
        </row>
        <row r="35">
          <cell r="AB35">
            <v>22.95</v>
          </cell>
          <cell r="AC35">
            <v>22.8</v>
          </cell>
        </row>
        <row r="36">
          <cell r="AB36">
            <v>22.99</v>
          </cell>
          <cell r="AC36">
            <v>22.75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9003-1510-4D96-B6F2-70EC82F356FD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O25" sqref="O25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[1]Jul1!B22</f>
        <v>21.31</v>
      </c>
      <c r="C6" s="24">
        <f>[1]Jul1!C22</f>
        <v>21.31</v>
      </c>
      <c r="D6" s="24">
        <f>[1]Jul1!D22</f>
        <v>21.31</v>
      </c>
      <c r="E6" s="24">
        <f>[1]Jul1!E22</f>
        <v>21.31</v>
      </c>
      <c r="F6" s="24">
        <f>[1]Jul1!F22</f>
        <v>21.31</v>
      </c>
      <c r="G6" s="24">
        <f>[1]Jul1!G22</f>
        <v>21.31</v>
      </c>
      <c r="H6" s="24">
        <f>[1]Jul1!H22</f>
        <v>21.31</v>
      </c>
      <c r="I6" s="24">
        <f>[1]Jul1!I22</f>
        <v>21.31</v>
      </c>
      <c r="J6" s="24">
        <f>[1]Jul1!J22</f>
        <v>21.31</v>
      </c>
      <c r="K6" s="24">
        <f>[1]Jul1!K22</f>
        <v>21.31</v>
      </c>
      <c r="L6" s="24">
        <f>[1]Jul1!L22</f>
        <v>21.31</v>
      </c>
      <c r="M6" s="24">
        <f>[1]Jul1!M22</f>
        <v>21.31</v>
      </c>
      <c r="N6" s="24">
        <f>[1]Jul1!N22</f>
        <v>21.31</v>
      </c>
      <c r="O6" s="24">
        <f>[1]Jul1!O22</f>
        <v>21.31</v>
      </c>
      <c r="P6" s="24">
        <f>[1]Jul1!P22</f>
        <v>21.31</v>
      </c>
      <c r="Q6" s="24">
        <f>[1]Jul1!Q22</f>
        <v>21.31</v>
      </c>
      <c r="R6" s="24">
        <f>[1]Jul1!R22</f>
        <v>21.35</v>
      </c>
      <c r="S6" s="24">
        <f>[1]Jul1!S22</f>
        <v>21.36</v>
      </c>
      <c r="T6" s="24">
        <f>[1]Jul1!T22</f>
        <v>21.39</v>
      </c>
      <c r="U6" s="24">
        <f>[1]Jul1!U22</f>
        <v>21.38</v>
      </c>
      <c r="V6" s="24">
        <f>[1]Jul1!V22</f>
        <v>21.38</v>
      </c>
      <c r="W6" s="24">
        <f>[1]Jul1!W22</f>
        <v>21.38</v>
      </c>
      <c r="X6" s="24">
        <f>[1]Jul1!X22</f>
        <v>21.38</v>
      </c>
      <c r="Y6" s="24">
        <f>[1]Jul1!Y22</f>
        <v>21.38</v>
      </c>
      <c r="Z6" s="25">
        <f t="shared" ref="Z6:Z36" si="0">AVERAGE(B6:Y6)</f>
        <v>21.331666666666667</v>
      </c>
      <c r="AA6" s="26">
        <v>1</v>
      </c>
      <c r="AB6" s="27">
        <f>MAX(B6:Y6)</f>
        <v>21.39</v>
      </c>
      <c r="AC6" s="27">
        <f>MIN(B6:Y6)</f>
        <v>21.31</v>
      </c>
    </row>
    <row r="7" spans="1:42" ht="14.25" customHeight="1" x14ac:dyDescent="0.25">
      <c r="A7" s="23">
        <v>2</v>
      </c>
      <c r="B7" s="28">
        <f>[1]Jul2!B22</f>
        <v>21.38</v>
      </c>
      <c r="C7" s="28">
        <f>[1]Jul2!C22</f>
        <v>21.38</v>
      </c>
      <c r="D7" s="28">
        <f>[1]Jul2!D22</f>
        <v>21.38</v>
      </c>
      <c r="E7" s="28">
        <f>[1]Jul2!E22</f>
        <v>21.38</v>
      </c>
      <c r="F7" s="28">
        <f>[1]Jul2!F22</f>
        <v>21.38</v>
      </c>
      <c r="G7" s="28">
        <f>[1]Jul2!G22</f>
        <v>21.37</v>
      </c>
      <c r="H7" s="28">
        <f>[1]Jul2!H22</f>
        <v>21.36</v>
      </c>
      <c r="I7" s="28">
        <f>[1]Jul2!I22</f>
        <v>21.36</v>
      </c>
      <c r="J7" s="28">
        <f>[1]Jul2!J22</f>
        <v>21.36</v>
      </c>
      <c r="K7" s="28">
        <f>[1]Jul2!K22</f>
        <v>21.35</v>
      </c>
      <c r="L7" s="28">
        <f>[1]Jul2!L22</f>
        <v>21.35</v>
      </c>
      <c r="M7" s="28">
        <f>[1]Jul2!M22</f>
        <v>21.34</v>
      </c>
      <c r="N7" s="28">
        <f>[1]Jul2!N22</f>
        <v>21.34</v>
      </c>
      <c r="O7" s="28">
        <f>[1]Jul2!O22</f>
        <v>21.34</v>
      </c>
      <c r="P7" s="28">
        <f>[1]Jul2!P22</f>
        <v>21.32</v>
      </c>
      <c r="Q7" s="28">
        <f>[1]Jul2!Q22</f>
        <v>21.32</v>
      </c>
      <c r="R7" s="28">
        <f>[1]Jul2!R22</f>
        <v>21.32</v>
      </c>
      <c r="S7" s="28">
        <f>[1]Jul2!S22</f>
        <v>21.32</v>
      </c>
      <c r="T7" s="28">
        <f>[1]Jul2!T22</f>
        <v>21.31</v>
      </c>
      <c r="U7" s="28">
        <f>[1]Jul2!U22</f>
        <v>21.31</v>
      </c>
      <c r="V7" s="28">
        <f>[1]Jul2!V22</f>
        <v>21.31</v>
      </c>
      <c r="W7" s="28">
        <f>[1]Jul2!W22</f>
        <v>21.31</v>
      </c>
      <c r="X7" s="28">
        <f>[1]Jul2!X22</f>
        <v>21.31</v>
      </c>
      <c r="Y7" s="28">
        <f>[1]Jul2!Y22</f>
        <v>21.31</v>
      </c>
      <c r="Z7" s="25">
        <f t="shared" si="0"/>
        <v>21.342083333333331</v>
      </c>
      <c r="AA7" s="26">
        <v>2</v>
      </c>
      <c r="AB7" s="27">
        <f t="shared" ref="AB7:AB36" si="1">MAX(B7:Y7)</f>
        <v>21.38</v>
      </c>
      <c r="AC7" s="27">
        <f t="shared" ref="AC7:AC36" si="2">MIN(B7:Y7)</f>
        <v>21.31</v>
      </c>
    </row>
    <row r="8" spans="1:42" ht="14.25" customHeight="1" x14ac:dyDescent="0.25">
      <c r="A8" s="23">
        <v>3</v>
      </c>
      <c r="B8" s="28">
        <f>[1]Jul3!B22</f>
        <v>21.31</v>
      </c>
      <c r="C8" s="28">
        <f>[1]Jul3!C22</f>
        <v>21.31</v>
      </c>
      <c r="D8" s="28">
        <f>[1]Jul3!D22</f>
        <v>21.31</v>
      </c>
      <c r="E8" s="28">
        <f>[1]Jul3!E22</f>
        <v>21.31</v>
      </c>
      <c r="F8" s="28">
        <f>[1]Jul3!F22</f>
        <v>21.31</v>
      </c>
      <c r="G8" s="28">
        <f>[1]Jul3!G22</f>
        <v>21.31</v>
      </c>
      <c r="H8" s="28">
        <f>[1]Jul3!H22</f>
        <v>21.31</v>
      </c>
      <c r="I8" s="28">
        <f>[1]Jul3!I22</f>
        <v>21.31</v>
      </c>
      <c r="J8" s="28">
        <f>[1]Jul3!J22</f>
        <v>21.31</v>
      </c>
      <c r="K8" s="28">
        <f>[1]Jul3!K22</f>
        <v>21.31</v>
      </c>
      <c r="L8" s="28">
        <f>[1]Jul3!L22</f>
        <v>21.31</v>
      </c>
      <c r="M8" s="28">
        <f>[1]Jul3!M22</f>
        <v>21.31</v>
      </c>
      <c r="N8" s="28">
        <f>[1]Jul3!N22</f>
        <v>21.31</v>
      </c>
      <c r="O8" s="28">
        <f>[1]Jul3!O22</f>
        <v>21.31</v>
      </c>
      <c r="P8" s="28">
        <f>[1]Jul3!P22</f>
        <v>21.31</v>
      </c>
      <c r="Q8" s="28">
        <f>[1]Jul3!Q22</f>
        <v>21.31</v>
      </c>
      <c r="R8" s="28">
        <f>[1]Jul3!R22</f>
        <v>21.31</v>
      </c>
      <c r="S8" s="28">
        <f>[1]Jul3!S22</f>
        <v>21.31</v>
      </c>
      <c r="T8" s="28">
        <f>[1]Jul3!T22</f>
        <v>21.31</v>
      </c>
      <c r="U8" s="28">
        <f>[1]Jul3!U22</f>
        <v>21.31</v>
      </c>
      <c r="V8" s="28">
        <f>[1]Jul3!V22</f>
        <v>21.31</v>
      </c>
      <c r="W8" s="28">
        <f>[1]Jul3!W22</f>
        <v>21.31</v>
      </c>
      <c r="X8" s="28">
        <f>[1]Jul3!X22</f>
        <v>21.31</v>
      </c>
      <c r="Y8" s="28">
        <f>[1]Jul3!Y22</f>
        <v>21.31</v>
      </c>
      <c r="Z8" s="29">
        <f t="shared" si="0"/>
        <v>21.31</v>
      </c>
      <c r="AA8" s="26">
        <v>3</v>
      </c>
      <c r="AB8" s="30">
        <f t="shared" si="1"/>
        <v>21.31</v>
      </c>
      <c r="AC8" s="30">
        <f t="shared" si="2"/>
        <v>21.31</v>
      </c>
    </row>
    <row r="9" spans="1:42" ht="14.25" customHeight="1" x14ac:dyDescent="0.25">
      <c r="A9" s="23">
        <v>4</v>
      </c>
      <c r="B9" s="28">
        <f>[1]Jul4!B22</f>
        <v>21.31</v>
      </c>
      <c r="C9" s="28">
        <f>[1]Jul4!C22</f>
        <v>21.31</v>
      </c>
      <c r="D9" s="28">
        <f>[1]Jul4!D22</f>
        <v>21.31</v>
      </c>
      <c r="E9" s="28">
        <f>[1]Jul4!E22</f>
        <v>21.31</v>
      </c>
      <c r="F9" s="28">
        <f>[1]Jul4!F22</f>
        <v>21.31</v>
      </c>
      <c r="G9" s="28">
        <f>[1]Jul4!G22</f>
        <v>21.31</v>
      </c>
      <c r="H9" s="28">
        <f>[1]Jul4!H22</f>
        <v>21.31</v>
      </c>
      <c r="I9" s="28">
        <f>[1]Jul4!I22</f>
        <v>21.31</v>
      </c>
      <c r="J9" s="28">
        <f>[1]Jul4!J22</f>
        <v>21.31</v>
      </c>
      <c r="K9" s="28">
        <f>[1]Jul4!K22</f>
        <v>21.31</v>
      </c>
      <c r="L9" s="28">
        <f>[1]Jul4!L22</f>
        <v>21.31</v>
      </c>
      <c r="M9" s="28">
        <f>[1]Jul4!M22</f>
        <v>21.31</v>
      </c>
      <c r="N9" s="28">
        <f>[1]Jul4!N22</f>
        <v>21.31</v>
      </c>
      <c r="O9" s="28">
        <f>[1]Jul4!O22</f>
        <v>21.31</v>
      </c>
      <c r="P9" s="28">
        <f>[1]Jul4!P22</f>
        <v>21.31</v>
      </c>
      <c r="Q9" s="28">
        <f>[1]Jul4!Q22</f>
        <v>21.31</v>
      </c>
      <c r="R9" s="28">
        <f>[1]Jul4!R22</f>
        <v>21.31</v>
      </c>
      <c r="S9" s="28">
        <f>[1]Jul4!S22</f>
        <v>21.31</v>
      </c>
      <c r="T9" s="28">
        <f>[1]Jul4!T22</f>
        <v>21.31</v>
      </c>
      <c r="U9" s="28">
        <f>[1]Jul4!U22</f>
        <v>21.31</v>
      </c>
      <c r="V9" s="28">
        <f>[1]Jul4!V22</f>
        <v>21.31</v>
      </c>
      <c r="W9" s="28">
        <f>[1]Jul4!W22</f>
        <v>21.31</v>
      </c>
      <c r="X9" s="28">
        <f>[1]Jul4!X22</f>
        <v>21.31</v>
      </c>
      <c r="Y9" s="28">
        <f>[1]Jul4!Y22</f>
        <v>21.31</v>
      </c>
      <c r="Z9" s="29">
        <f t="shared" si="0"/>
        <v>21.31</v>
      </c>
      <c r="AA9" s="26">
        <v>4</v>
      </c>
      <c r="AB9" s="27">
        <f t="shared" si="1"/>
        <v>21.31</v>
      </c>
      <c r="AC9" s="27">
        <f t="shared" si="2"/>
        <v>21.31</v>
      </c>
    </row>
    <row r="10" spans="1:42" ht="14.25" customHeight="1" x14ac:dyDescent="0.25">
      <c r="A10" s="23">
        <v>5</v>
      </c>
      <c r="B10" s="28">
        <f>[1]JUL5!B22</f>
        <v>21.31</v>
      </c>
      <c r="C10" s="28">
        <f>[1]JUL5!C22</f>
        <v>21.31</v>
      </c>
      <c r="D10" s="28">
        <f>[1]JUL5!D22</f>
        <v>21.31</v>
      </c>
      <c r="E10" s="28">
        <f>[1]JUL5!E22</f>
        <v>21.31</v>
      </c>
      <c r="F10" s="28">
        <f>[1]JUL5!F22</f>
        <v>21.31</v>
      </c>
      <c r="G10" s="28">
        <f>[1]JUL5!G22</f>
        <v>21.31</v>
      </c>
      <c r="H10" s="28">
        <f>[1]JUL5!H22</f>
        <v>21.31</v>
      </c>
      <c r="I10" s="28">
        <f>[1]JUL5!I22</f>
        <v>21.31</v>
      </c>
      <c r="J10" s="28">
        <f>[1]JUL5!J22</f>
        <v>21.31</v>
      </c>
      <c r="K10" s="28">
        <f>[1]JUL5!K22</f>
        <v>21.31</v>
      </c>
      <c r="L10" s="28">
        <f>[1]JUL5!L22</f>
        <v>21.31</v>
      </c>
      <c r="M10" s="28">
        <f>[1]JUL5!M22</f>
        <v>21.31</v>
      </c>
      <c r="N10" s="28">
        <f>[1]JUL5!N22</f>
        <v>21.31</v>
      </c>
      <c r="O10" s="28">
        <f>[1]JUL5!O22</f>
        <v>21.31</v>
      </c>
      <c r="P10" s="28">
        <f>[1]JUL5!P22</f>
        <v>21.31</v>
      </c>
      <c r="Q10" s="28">
        <f>[1]JUL5!Q22</f>
        <v>21.31</v>
      </c>
      <c r="R10" s="28">
        <f>[1]JUL5!R22</f>
        <v>21.31</v>
      </c>
      <c r="S10" s="28">
        <f>[1]JUL5!S22</f>
        <v>21.31</v>
      </c>
      <c r="T10" s="28">
        <f>[1]JUL5!T22</f>
        <v>21.31</v>
      </c>
      <c r="U10" s="28">
        <f>[1]JUL5!U22</f>
        <v>21.31</v>
      </c>
      <c r="V10" s="28">
        <f>[1]JUL5!V22</f>
        <v>21.31</v>
      </c>
      <c r="W10" s="28">
        <f>[1]JUL5!W22</f>
        <v>21.31</v>
      </c>
      <c r="X10" s="28">
        <f>[1]JUL5!X22</f>
        <v>21.31</v>
      </c>
      <c r="Y10" s="28">
        <f>[1]JUL5!Y22</f>
        <v>21.31</v>
      </c>
      <c r="Z10" s="29">
        <f t="shared" si="0"/>
        <v>21.31</v>
      </c>
      <c r="AA10" s="26">
        <v>5</v>
      </c>
      <c r="AB10" s="27">
        <f t="shared" si="1"/>
        <v>21.31</v>
      </c>
      <c r="AC10" s="27">
        <f t="shared" si="2"/>
        <v>21.31</v>
      </c>
    </row>
    <row r="11" spans="1:42" ht="14.25" customHeight="1" x14ac:dyDescent="0.25">
      <c r="A11" s="23">
        <v>6</v>
      </c>
      <c r="B11" s="28">
        <f>[1]Jul6!B22</f>
        <v>21.31</v>
      </c>
      <c r="C11" s="28">
        <f>[1]Jul6!C22</f>
        <v>21.31</v>
      </c>
      <c r="D11" s="28">
        <f>[1]Jul6!D22</f>
        <v>21.31</v>
      </c>
      <c r="E11" s="28">
        <f>[1]Jul6!E22</f>
        <v>21.31</v>
      </c>
      <c r="F11" s="28">
        <f>[1]Jul6!F22</f>
        <v>21.31</v>
      </c>
      <c r="G11" s="28">
        <f>[1]Jul6!G22</f>
        <v>21.31</v>
      </c>
      <c r="H11" s="28">
        <f>[1]Jul6!H22</f>
        <v>21.31</v>
      </c>
      <c r="I11" s="28">
        <f>[1]Jul6!I22</f>
        <v>21.31</v>
      </c>
      <c r="J11" s="28">
        <f>[1]Jul6!J22</f>
        <v>21.31</v>
      </c>
      <c r="K11" s="28">
        <f>[1]Jul6!K22</f>
        <v>21.31</v>
      </c>
      <c r="L11" s="28">
        <f>[1]Jul6!L22</f>
        <v>21.31</v>
      </c>
      <c r="M11" s="28">
        <f>[1]Jul6!M22</f>
        <v>21.31</v>
      </c>
      <c r="N11" s="28">
        <f>[1]Jul6!N22</f>
        <v>21.31</v>
      </c>
      <c r="O11" s="28" t="str">
        <f>[1]Jul6!O22</f>
        <v>**</v>
      </c>
      <c r="P11" s="28" t="str">
        <f>[1]Jul6!P22</f>
        <v>**</v>
      </c>
      <c r="Q11" s="28">
        <f>[1]Jul6!Q22</f>
        <v>21.31</v>
      </c>
      <c r="R11" s="28">
        <f>[1]Jul6!R22</f>
        <v>21.31</v>
      </c>
      <c r="S11" s="28">
        <f>[1]Jul6!S22</f>
        <v>21.31</v>
      </c>
      <c r="T11" s="28">
        <f>[1]Jul6!T22</f>
        <v>21.31</v>
      </c>
      <c r="U11" s="28">
        <f>[1]Jul6!U22</f>
        <v>21.31</v>
      </c>
      <c r="V11" s="28">
        <f>[1]Jul6!V22</f>
        <v>21.31</v>
      </c>
      <c r="W11" s="28">
        <f>[1]Jul6!W22</f>
        <v>21.31</v>
      </c>
      <c r="X11" s="28">
        <f>[1]Jul6!X22</f>
        <v>21.31</v>
      </c>
      <c r="Y11" s="28">
        <f>[1]Jul6!Y22</f>
        <v>21.31</v>
      </c>
      <c r="Z11" s="25">
        <f t="shared" si="0"/>
        <v>21.31</v>
      </c>
      <c r="AA11" s="26">
        <v>6</v>
      </c>
      <c r="AB11" s="27">
        <f>MAX(B11:Y11)</f>
        <v>21.31</v>
      </c>
      <c r="AC11" s="27">
        <f>MIN(B11:Y11)</f>
        <v>21.31</v>
      </c>
    </row>
    <row r="12" spans="1:42" ht="14.25" customHeight="1" x14ac:dyDescent="0.25">
      <c r="A12" s="23">
        <v>7</v>
      </c>
      <c r="B12" s="28">
        <f>[1]Jul7!B22</f>
        <v>21.31</v>
      </c>
      <c r="C12" s="28">
        <f>[1]Jul7!C22</f>
        <v>21.31</v>
      </c>
      <c r="D12" s="28">
        <f>[1]Jul7!D22</f>
        <v>21.31</v>
      </c>
      <c r="E12" s="28">
        <f>[1]Jul7!E22</f>
        <v>21.31</v>
      </c>
      <c r="F12" s="28">
        <f>[1]Jul7!F22</f>
        <v>21.31</v>
      </c>
      <c r="G12" s="28">
        <f>[1]Jul7!G22</f>
        <v>21.31</v>
      </c>
      <c r="H12" s="28">
        <f>[1]Jul7!H22</f>
        <v>21.31</v>
      </c>
      <c r="I12" s="28">
        <f>[1]Jul7!I22</f>
        <v>21.31</v>
      </c>
      <c r="J12" s="28">
        <f>[1]Jul7!J22</f>
        <v>21.31</v>
      </c>
      <c r="K12" s="28">
        <f>[1]Jul7!K22</f>
        <v>21.31</v>
      </c>
      <c r="L12" s="28">
        <f>[1]Jul7!L22</f>
        <v>21.31</v>
      </c>
      <c r="M12" s="28">
        <f>[1]Jul7!M22</f>
        <v>21.31</v>
      </c>
      <c r="N12" s="28">
        <f>[1]Jul7!N22</f>
        <v>21.31</v>
      </c>
      <c r="O12" s="28">
        <f>[1]Jul7!O22</f>
        <v>21.31</v>
      </c>
      <c r="P12" s="28">
        <f>[1]Jul7!P22</f>
        <v>21.31</v>
      </c>
      <c r="Q12" s="28">
        <f>[1]Jul7!Q22</f>
        <v>21.31</v>
      </c>
      <c r="R12" s="28">
        <f>[1]Jul7!R22</f>
        <v>21.31</v>
      </c>
      <c r="S12" s="28">
        <f>[1]Jul7!S22</f>
        <v>21.31</v>
      </c>
      <c r="T12" s="28">
        <f>[1]Jul7!T22</f>
        <v>21.31</v>
      </c>
      <c r="U12" s="28">
        <f>[1]Jul7!U22</f>
        <v>21.31</v>
      </c>
      <c r="V12" s="28">
        <f>[1]Jul7!V22</f>
        <v>21.31</v>
      </c>
      <c r="W12" s="28">
        <f>[1]Jul7!W22</f>
        <v>21.31</v>
      </c>
      <c r="X12" s="28">
        <f>[1]Jul7!X22</f>
        <v>21.31</v>
      </c>
      <c r="Y12" s="28">
        <f>[1]Jul7!Y22</f>
        <v>21.31</v>
      </c>
      <c r="Z12" s="25">
        <f t="shared" si="0"/>
        <v>21.31</v>
      </c>
      <c r="AA12" s="26">
        <v>7</v>
      </c>
      <c r="AB12" s="27">
        <f t="shared" si="1"/>
        <v>21.31</v>
      </c>
      <c r="AC12" s="27">
        <f t="shared" si="2"/>
        <v>21.31</v>
      </c>
    </row>
    <row r="13" spans="1:42" ht="14.25" customHeight="1" x14ac:dyDescent="0.25">
      <c r="A13" s="23">
        <v>8</v>
      </c>
      <c r="B13" s="28">
        <f>[1]Jul8!B22</f>
        <v>21.31</v>
      </c>
      <c r="C13" s="28">
        <f>[1]Jul8!C22</f>
        <v>21.31</v>
      </c>
      <c r="D13" s="28">
        <f>[1]Jul8!D22</f>
        <v>21.31</v>
      </c>
      <c r="E13" s="28">
        <f>[1]Jul8!E22</f>
        <v>21.31</v>
      </c>
      <c r="F13" s="28">
        <f>[1]Jul8!F22</f>
        <v>21.31</v>
      </c>
      <c r="G13" s="28">
        <f>[1]Jul8!G22</f>
        <v>21.31</v>
      </c>
      <c r="H13" s="28">
        <f>[1]Jul8!H22</f>
        <v>21.31</v>
      </c>
      <c r="I13" s="28">
        <f>[1]Jul8!I22</f>
        <v>21.31</v>
      </c>
      <c r="J13" s="28">
        <f>[1]Jul8!J22</f>
        <v>21.31</v>
      </c>
      <c r="K13" s="28">
        <f>[1]Jul8!K22</f>
        <v>21.31</v>
      </c>
      <c r="L13" s="28">
        <f>[1]Jul8!L22</f>
        <v>21.31</v>
      </c>
      <c r="M13" s="28">
        <f>[1]Jul8!M22</f>
        <v>21.31</v>
      </c>
      <c r="N13" s="28">
        <f>[1]Jul8!N22</f>
        <v>21.31</v>
      </c>
      <c r="O13" s="28">
        <f>[1]Jul8!O22</f>
        <v>21.31</v>
      </c>
      <c r="P13" s="28">
        <f>[1]Jul8!P22</f>
        <v>21.31</v>
      </c>
      <c r="Q13" s="28">
        <f>[1]Jul8!Q22</f>
        <v>21.31</v>
      </c>
      <c r="R13" s="28">
        <f>[1]Jul8!R22</f>
        <v>21.31</v>
      </c>
      <c r="S13" s="28">
        <f>[1]Jul8!S22</f>
        <v>21.31</v>
      </c>
      <c r="T13" s="28">
        <f>[1]Jul8!T22</f>
        <v>21.31</v>
      </c>
      <c r="U13" s="28">
        <f>[1]Jul8!U22</f>
        <v>21.31</v>
      </c>
      <c r="V13" s="28">
        <f>[1]Jul8!V22</f>
        <v>21.31</v>
      </c>
      <c r="W13" s="28">
        <f>[1]Jul8!W22</f>
        <v>21.31</v>
      </c>
      <c r="X13" s="28">
        <f>[1]Jul8!X22</f>
        <v>21.31</v>
      </c>
      <c r="Y13" s="28">
        <f>[1]Jul8!Y22</f>
        <v>21.31</v>
      </c>
      <c r="Z13" s="25">
        <f t="shared" si="0"/>
        <v>21.31</v>
      </c>
      <c r="AA13" s="26">
        <v>8</v>
      </c>
      <c r="AB13" s="27">
        <f t="shared" si="1"/>
        <v>21.31</v>
      </c>
      <c r="AC13" s="27">
        <f t="shared" si="2"/>
        <v>21.31</v>
      </c>
    </row>
    <row r="14" spans="1:42" ht="14.25" customHeight="1" x14ac:dyDescent="0.25">
      <c r="A14" s="23">
        <v>9</v>
      </c>
      <c r="B14" s="28">
        <f>[1]Jul9!B22</f>
        <v>21.31</v>
      </c>
      <c r="C14" s="28">
        <f>[1]Jul9!C22</f>
        <v>21.31</v>
      </c>
      <c r="D14" s="28">
        <f>[1]Jul9!D22</f>
        <v>21.31</v>
      </c>
      <c r="E14" s="28">
        <f>[1]Jul9!E22</f>
        <v>21.31</v>
      </c>
      <c r="F14" s="28">
        <f>[1]Jul9!F22</f>
        <v>21.31</v>
      </c>
      <c r="G14" s="28">
        <f>[1]Jul9!G22</f>
        <v>21.31</v>
      </c>
      <c r="H14" s="28">
        <f>[1]Jul9!H22</f>
        <v>21.31</v>
      </c>
      <c r="I14" s="28">
        <f>[1]Jul9!I22</f>
        <v>21.31</v>
      </c>
      <c r="J14" s="28">
        <f>[1]Jul9!J22</f>
        <v>21.31</v>
      </c>
      <c r="K14" s="28">
        <f>[1]Jul9!K22</f>
        <v>21.31</v>
      </c>
      <c r="L14" s="28">
        <f>[1]Jul9!L22</f>
        <v>21.31</v>
      </c>
      <c r="M14" s="28">
        <f>[1]Jul9!M22</f>
        <v>21.31</v>
      </c>
      <c r="N14" s="28">
        <f>[1]Jul9!N22</f>
        <v>21.31</v>
      </c>
      <c r="O14" s="28">
        <f>[1]Jul9!O22</f>
        <v>21.31</v>
      </c>
      <c r="P14" s="28">
        <f>[1]Jul9!P22</f>
        <v>21.31</v>
      </c>
      <c r="Q14" s="28">
        <f>[1]Jul9!Q22</f>
        <v>21.31</v>
      </c>
      <c r="R14" s="28">
        <f>[1]Jul9!R22</f>
        <v>21.31</v>
      </c>
      <c r="S14" s="28">
        <f>[1]Jul9!S22</f>
        <v>21.31</v>
      </c>
      <c r="T14" s="28">
        <f>[1]Jul9!T22</f>
        <v>21.31</v>
      </c>
      <c r="U14" s="28">
        <f>[1]Jul9!U22</f>
        <v>21.31</v>
      </c>
      <c r="V14" s="28">
        <f>[1]Jul9!V22</f>
        <v>21.31</v>
      </c>
      <c r="W14" s="28">
        <f>[1]Jul9!W22</f>
        <v>21.31</v>
      </c>
      <c r="X14" s="28">
        <f>[1]Jul9!X22</f>
        <v>21.31</v>
      </c>
      <c r="Y14" s="28">
        <f>[1]Jul9!Y22</f>
        <v>21.31</v>
      </c>
      <c r="Z14" s="25">
        <f t="shared" si="0"/>
        <v>21.31</v>
      </c>
      <c r="AA14" s="26">
        <v>9</v>
      </c>
      <c r="AB14" s="27">
        <f t="shared" si="1"/>
        <v>21.31</v>
      </c>
      <c r="AC14" s="27">
        <f t="shared" si="2"/>
        <v>21.31</v>
      </c>
    </row>
    <row r="15" spans="1:42" ht="14.25" customHeight="1" x14ac:dyDescent="0.25">
      <c r="A15" s="23">
        <v>10</v>
      </c>
      <c r="B15" s="28">
        <f>[1]Jul10!B22</f>
        <v>21.31</v>
      </c>
      <c r="C15" s="28">
        <f>[1]Jul10!C22</f>
        <v>21.31</v>
      </c>
      <c r="D15" s="28">
        <f>[1]Jul10!D22</f>
        <v>21.31</v>
      </c>
      <c r="E15" s="28">
        <f>[1]Jul10!E22</f>
        <v>21.31</v>
      </c>
      <c r="F15" s="28">
        <f>[1]Jul10!F22</f>
        <v>21.31</v>
      </c>
      <c r="G15" s="28">
        <f>[1]Jul10!G22</f>
        <v>21.31</v>
      </c>
      <c r="H15" s="28">
        <f>[1]Jul10!H22</f>
        <v>21.31</v>
      </c>
      <c r="I15" s="28">
        <f>[1]Jul10!I22</f>
        <v>21.31</v>
      </c>
      <c r="J15" s="28">
        <f>[1]Jul10!J22</f>
        <v>21.31</v>
      </c>
      <c r="K15" s="28">
        <f>[1]Jul10!K22</f>
        <v>21.31</v>
      </c>
      <c r="L15" s="28">
        <f>[1]Jul10!L22</f>
        <v>21.31</v>
      </c>
      <c r="M15" s="28">
        <f>[1]Jul10!M22</f>
        <v>21.31</v>
      </c>
      <c r="N15" s="28">
        <f>[1]Jul10!N22</f>
        <v>21.31</v>
      </c>
      <c r="O15" s="28">
        <f>[1]Jul10!O22</f>
        <v>21.31</v>
      </c>
      <c r="P15" s="28">
        <f>[1]Jul10!P22</f>
        <v>21.31</v>
      </c>
      <c r="Q15" s="28">
        <f>[1]Jul10!Q22</f>
        <v>21.31</v>
      </c>
      <c r="R15" s="28">
        <f>[1]Jul10!R22</f>
        <v>21.31</v>
      </c>
      <c r="S15" s="28">
        <f>[1]Jul10!S22</f>
        <v>21.31</v>
      </c>
      <c r="T15" s="28">
        <f>[1]Jul10!T22</f>
        <v>21.31</v>
      </c>
      <c r="U15" s="28">
        <f>[1]Jul10!U22</f>
        <v>21.31</v>
      </c>
      <c r="V15" s="28">
        <f>[1]Jul10!V22</f>
        <v>21.31</v>
      </c>
      <c r="W15" s="28">
        <f>[1]Jul10!W22</f>
        <v>21.31</v>
      </c>
      <c r="X15" s="28">
        <f>[1]Jul10!X22</f>
        <v>21.31</v>
      </c>
      <c r="Y15" s="28">
        <f>[1]Jul10!Y22</f>
        <v>21.31</v>
      </c>
      <c r="Z15" s="25">
        <f t="shared" si="0"/>
        <v>21.31</v>
      </c>
      <c r="AA15" s="26">
        <v>10</v>
      </c>
      <c r="AB15" s="27">
        <f t="shared" si="1"/>
        <v>21.31</v>
      </c>
      <c r="AC15" s="27">
        <f t="shared" si="2"/>
        <v>21.31</v>
      </c>
    </row>
    <row r="16" spans="1:42" ht="14.25" customHeight="1" x14ac:dyDescent="0.25">
      <c r="A16" s="23">
        <v>11</v>
      </c>
      <c r="B16" s="28">
        <f>[1]Jul11!B22</f>
        <v>21.31</v>
      </c>
      <c r="C16" s="28">
        <f>[1]Jul11!C22</f>
        <v>21.31</v>
      </c>
      <c r="D16" s="28">
        <f>[1]Jul11!D22</f>
        <v>21.31</v>
      </c>
      <c r="E16" s="28">
        <f>[1]Jul11!E22</f>
        <v>21.31</v>
      </c>
      <c r="F16" s="28">
        <f>[1]Jul11!F22</f>
        <v>21.31</v>
      </c>
      <c r="G16" s="28">
        <f>[1]Jul11!G22</f>
        <v>21.31</v>
      </c>
      <c r="H16" s="28">
        <f>[1]Jul11!H22</f>
        <v>21.31</v>
      </c>
      <c r="I16" s="28">
        <f>[1]Jul11!I22</f>
        <v>21.31</v>
      </c>
      <c r="J16" s="28">
        <f>[1]Jul11!J22</f>
        <v>21.31</v>
      </c>
      <c r="K16" s="28">
        <f>[1]Jul11!K22</f>
        <v>21.31</v>
      </c>
      <c r="L16" s="28">
        <f>[1]Jul11!L22</f>
        <v>21.31</v>
      </c>
      <c r="M16" s="28">
        <f>[1]Jul11!M22</f>
        <v>21.31</v>
      </c>
      <c r="N16" s="28">
        <f>[1]Jul11!N22</f>
        <v>21.31</v>
      </c>
      <c r="O16" s="28">
        <f>[1]Jul11!O22</f>
        <v>21.31</v>
      </c>
      <c r="P16" s="28">
        <f>[1]Jul11!P22</f>
        <v>21.31</v>
      </c>
      <c r="Q16" s="28">
        <f>[1]Jul11!Q22</f>
        <v>21.31</v>
      </c>
      <c r="R16" s="28">
        <f>[1]Jul11!R22</f>
        <v>21.31</v>
      </c>
      <c r="S16" s="28">
        <f>[1]Jul11!S22</f>
        <v>21.31</v>
      </c>
      <c r="T16" s="28">
        <f>[1]Jul11!T22</f>
        <v>21.31</v>
      </c>
      <c r="U16" s="28">
        <f>[1]Jul11!U22</f>
        <v>21.31</v>
      </c>
      <c r="V16" s="28">
        <f>[1]Jul11!V22</f>
        <v>21.31</v>
      </c>
      <c r="W16" s="28">
        <f>[1]Jul11!W22</f>
        <v>21.31</v>
      </c>
      <c r="X16" s="28">
        <f>[1]Jul11!X22</f>
        <v>21.31</v>
      </c>
      <c r="Y16" s="28">
        <f>[1]Jul11!Y22</f>
        <v>21.31</v>
      </c>
      <c r="Z16" s="25">
        <f t="shared" si="0"/>
        <v>21.31</v>
      </c>
      <c r="AA16" s="26">
        <v>11</v>
      </c>
      <c r="AB16" s="27">
        <f t="shared" si="1"/>
        <v>21.31</v>
      </c>
      <c r="AC16" s="27">
        <f t="shared" si="2"/>
        <v>21.31</v>
      </c>
    </row>
    <row r="17" spans="1:29" ht="14.25" customHeight="1" x14ac:dyDescent="0.25">
      <c r="A17" s="23">
        <v>12</v>
      </c>
      <c r="B17" s="28">
        <f>[1]Jul12!B22</f>
        <v>21.31</v>
      </c>
      <c r="C17" s="28">
        <f>[1]Jul12!C22</f>
        <v>21.31</v>
      </c>
      <c r="D17" s="28">
        <f>[1]Jul12!D22</f>
        <v>21.31</v>
      </c>
      <c r="E17" s="28">
        <f>[1]Jul12!E22</f>
        <v>21.31</v>
      </c>
      <c r="F17" s="28">
        <f>[1]Jul12!F22</f>
        <v>21.31</v>
      </c>
      <c r="G17" s="28">
        <f>[1]Jul12!G22</f>
        <v>21.31</v>
      </c>
      <c r="H17" s="28">
        <f>[1]Jul12!H22</f>
        <v>21.31</v>
      </c>
      <c r="I17" s="28">
        <f>[1]Jul12!I22</f>
        <v>21.39</v>
      </c>
      <c r="J17" s="28">
        <f>[1]Jul12!J22</f>
        <v>21.31</v>
      </c>
      <c r="K17" s="28">
        <f>[1]Jul12!K22</f>
        <v>21.31</v>
      </c>
      <c r="L17" s="28">
        <f>[1]Jul12!L22</f>
        <v>21.31</v>
      </c>
      <c r="M17" s="28">
        <f>[1]Jul12!M22</f>
        <v>21.31</v>
      </c>
      <c r="N17" s="28">
        <f>[1]Jul12!N22</f>
        <v>21.31</v>
      </c>
      <c r="O17" s="28">
        <f>[1]Jul12!O22</f>
        <v>21.31</v>
      </c>
      <c r="P17" s="28">
        <f>[1]Jul12!P22</f>
        <v>21.31</v>
      </c>
      <c r="Q17" s="28">
        <f>[1]Jul12!Q22</f>
        <v>21.31</v>
      </c>
      <c r="R17" s="28">
        <f>[1]Jul12!R22</f>
        <v>21.31</v>
      </c>
      <c r="S17" s="28">
        <f>[1]Jul12!S22</f>
        <v>21.31</v>
      </c>
      <c r="T17" s="28">
        <f>[1]Jul12!T22</f>
        <v>21.31</v>
      </c>
      <c r="U17" s="28">
        <f>[1]Jul12!U22</f>
        <v>21.31</v>
      </c>
      <c r="V17" s="28">
        <f>[1]Jul12!V22</f>
        <v>21.31</v>
      </c>
      <c r="W17" s="28">
        <f>[1]Jul12!W22</f>
        <v>21.31</v>
      </c>
      <c r="X17" s="28">
        <f>[1]Jul12!X22</f>
        <v>21.31</v>
      </c>
      <c r="Y17" s="28">
        <f>[1]Jul12!Y22</f>
        <v>21.31</v>
      </c>
      <c r="Z17" s="25">
        <f t="shared" si="0"/>
        <v>21.313333333333336</v>
      </c>
      <c r="AA17" s="26">
        <v>12</v>
      </c>
      <c r="AB17" s="27">
        <f t="shared" si="1"/>
        <v>21.39</v>
      </c>
      <c r="AC17" s="27">
        <f t="shared" si="2"/>
        <v>21.31</v>
      </c>
    </row>
    <row r="18" spans="1:29" ht="14.25" customHeight="1" x14ac:dyDescent="0.25">
      <c r="A18" s="23">
        <v>13</v>
      </c>
      <c r="B18" s="28">
        <f>[1]Jul13!B22</f>
        <v>21.31</v>
      </c>
      <c r="C18" s="28">
        <f>[1]Jul13!C22</f>
        <v>21.31</v>
      </c>
      <c r="D18" s="28">
        <f>[1]Jul13!D22</f>
        <v>21.31</v>
      </c>
      <c r="E18" s="28">
        <f>[1]Jul13!E22</f>
        <v>21.31</v>
      </c>
      <c r="F18" s="28">
        <f>[1]Jul13!F22</f>
        <v>21.31</v>
      </c>
      <c r="G18" s="28">
        <f>[1]Jul13!G22</f>
        <v>21.31</v>
      </c>
      <c r="H18" s="28">
        <f>[1]Jul13!H22</f>
        <v>21.31</v>
      </c>
      <c r="I18" s="28">
        <f>[1]Jul13!I22</f>
        <v>21.31</v>
      </c>
      <c r="J18" s="28">
        <f>[1]Jul13!J22</f>
        <v>21.31</v>
      </c>
      <c r="K18" s="28">
        <f>[1]Jul13!K22</f>
        <v>21.31</v>
      </c>
      <c r="L18" s="28">
        <f>[1]Jul13!L22</f>
        <v>21.31</v>
      </c>
      <c r="M18" s="28">
        <f>[1]Jul13!M22</f>
        <v>21.31</v>
      </c>
      <c r="N18" s="28">
        <f>[1]Jul13!N22</f>
        <v>21.31</v>
      </c>
      <c r="O18" s="28">
        <f>[1]Jul13!O22</f>
        <v>21.85</v>
      </c>
      <c r="P18" s="28">
        <f>[1]Jul13!P22</f>
        <v>22.6</v>
      </c>
      <c r="Q18" s="28">
        <f>[1]Jul13!Q22</f>
        <v>22.86</v>
      </c>
      <c r="R18" s="28">
        <f>[1]Jul13!R22</f>
        <v>22.82</v>
      </c>
      <c r="S18" s="28">
        <f>[1]Jul13!S22</f>
        <v>22.64</v>
      </c>
      <c r="T18" s="28">
        <f>[1]Jul13!T22</f>
        <v>22.48</v>
      </c>
      <c r="U18" s="28">
        <f>[1]Jul13!U22</f>
        <v>22.35</v>
      </c>
      <c r="V18" s="28">
        <f>[1]Jul13!V22</f>
        <v>22.2</v>
      </c>
      <c r="W18" s="28">
        <f>[1]Jul13!W22</f>
        <v>22.08</v>
      </c>
      <c r="X18" s="28">
        <f>[1]Jul13!X22</f>
        <v>21.96</v>
      </c>
      <c r="Y18" s="28">
        <f>[1]Jul13!Y22</f>
        <v>21.83</v>
      </c>
      <c r="Z18" s="25">
        <f t="shared" si="0"/>
        <v>21.779166666666669</v>
      </c>
      <c r="AA18" s="26">
        <v>13</v>
      </c>
      <c r="AB18" s="27">
        <f t="shared" si="1"/>
        <v>22.86</v>
      </c>
      <c r="AC18" s="27">
        <f t="shared" si="2"/>
        <v>21.31</v>
      </c>
    </row>
    <row r="19" spans="1:29" ht="14.25" customHeight="1" x14ac:dyDescent="0.25">
      <c r="A19" s="23">
        <v>14</v>
      </c>
      <c r="B19" s="28">
        <f>[1]Jul14!B22</f>
        <v>21.74</v>
      </c>
      <c r="C19" s="28">
        <f>[1]Jul14!C22</f>
        <v>21.65</v>
      </c>
      <c r="D19" s="28" t="str">
        <f>[1]Jul14!D22</f>
        <v>**</v>
      </c>
      <c r="E19" s="28">
        <f>[1]Jul14!E22</f>
        <v>21.63</v>
      </c>
      <c r="F19" s="28">
        <f>[1]Jul14!F22</f>
        <v>21.62</v>
      </c>
      <c r="G19" s="28">
        <f>[1]Jul14!G22</f>
        <v>21.61</v>
      </c>
      <c r="H19" s="28">
        <f>[1]Jul14!H22</f>
        <v>21.61</v>
      </c>
      <c r="I19" s="28">
        <f>[1]Jul14!I22</f>
        <v>21.6</v>
      </c>
      <c r="J19" s="28">
        <f>[1]Jul14!J22</f>
        <v>21.59</v>
      </c>
      <c r="K19" s="28">
        <f>[1]Jul14!K22</f>
        <v>21.58</v>
      </c>
      <c r="L19" s="28">
        <f>[1]Jul14!L22</f>
        <v>21.58</v>
      </c>
      <c r="M19" s="28">
        <f>[1]Jul14!M22</f>
        <v>21.83</v>
      </c>
      <c r="N19" s="28">
        <f>[1]Jul14!N22</f>
        <v>22.12</v>
      </c>
      <c r="O19" s="28">
        <f>[1]Jul14!O22</f>
        <v>22.06</v>
      </c>
      <c r="P19" s="28">
        <f>[1]Jul14!P22</f>
        <v>21.85</v>
      </c>
      <c r="Q19" s="28">
        <f>[1]Jul14!Q22</f>
        <v>21.75</v>
      </c>
      <c r="R19" s="28">
        <f>[1]Jul14!R22</f>
        <v>21.78</v>
      </c>
      <c r="S19" s="28">
        <f>[1]Jul14!S22</f>
        <v>21.85</v>
      </c>
      <c r="T19" s="28">
        <f>[1]Jul14!T22</f>
        <v>21.96</v>
      </c>
      <c r="U19" s="28">
        <f>[1]Jul14!U22</f>
        <v>22.01</v>
      </c>
      <c r="V19" s="28">
        <f>[1]Jul14!V22</f>
        <v>22.02</v>
      </c>
      <c r="W19" s="28">
        <f>[1]Jul14!W22</f>
        <v>22.01</v>
      </c>
      <c r="X19" s="28">
        <f>[1]Jul14!X22</f>
        <v>21.96</v>
      </c>
      <c r="Y19" s="28">
        <f>[1]Jul14!Y22</f>
        <v>21.9</v>
      </c>
      <c r="Z19" s="25">
        <f t="shared" si="0"/>
        <v>21.796086956521737</v>
      </c>
      <c r="AA19" s="26">
        <v>14</v>
      </c>
      <c r="AB19" s="27">
        <f t="shared" si="1"/>
        <v>22.12</v>
      </c>
      <c r="AC19" s="27">
        <f t="shared" si="2"/>
        <v>21.58</v>
      </c>
    </row>
    <row r="20" spans="1:29" ht="14.25" customHeight="1" x14ac:dyDescent="0.25">
      <c r="A20" s="23">
        <v>15</v>
      </c>
      <c r="B20" s="28">
        <f>[1]Jul15!B22</f>
        <v>21.83</v>
      </c>
      <c r="C20" s="28">
        <f>[1]Jul15!C22</f>
        <v>21.72</v>
      </c>
      <c r="D20" s="28">
        <f>[1]Jul15!D22</f>
        <v>21.72</v>
      </c>
      <c r="E20" s="28">
        <f>[1]Jul15!E22</f>
        <v>21.69</v>
      </c>
      <c r="F20" s="28" t="str">
        <f>[1]Jul15!F22</f>
        <v>**</v>
      </c>
      <c r="G20" s="28">
        <f>[1]Jul15!G22</f>
        <v>21.8</v>
      </c>
      <c r="H20" s="28">
        <f>[1]Jul15!H22</f>
        <v>21.77</v>
      </c>
      <c r="I20" s="28">
        <f>[1]Jul15!I22</f>
        <v>21.73</v>
      </c>
      <c r="J20" s="28">
        <f>[1]Jul15!J22</f>
        <v>21.7</v>
      </c>
      <c r="K20" s="28">
        <f>[1]Jul15!K22</f>
        <v>21.68</v>
      </c>
      <c r="L20" s="28">
        <f>[1]Jul15!L22</f>
        <v>21.74</v>
      </c>
      <c r="M20" s="28">
        <f>[1]Jul15!M22</f>
        <v>21.86</v>
      </c>
      <c r="N20" s="28">
        <f>[1]Jul15!N22</f>
        <v>21.95</v>
      </c>
      <c r="O20" s="28">
        <f>[1]Jul15!O22</f>
        <v>21.97</v>
      </c>
      <c r="P20" s="28">
        <f>[1]Jul15!P22</f>
        <v>21.97</v>
      </c>
      <c r="Q20" s="28">
        <f>[1]Jul15!Q22</f>
        <v>21.92</v>
      </c>
      <c r="R20" s="28">
        <f>[1]Jul15!R22</f>
        <v>21.86</v>
      </c>
      <c r="S20" s="28">
        <f>[1]Jul15!S22</f>
        <v>21.89</v>
      </c>
      <c r="T20" s="28">
        <f>[1]Jul15!T22</f>
        <v>22.06</v>
      </c>
      <c r="U20" s="28">
        <f>[1]Jul15!U22</f>
        <v>22.1</v>
      </c>
      <c r="V20" s="28">
        <f>[1]Jul15!V22</f>
        <v>21.99</v>
      </c>
      <c r="W20" s="28">
        <f>[1]Jul15!W22</f>
        <v>22.38</v>
      </c>
      <c r="X20" s="28">
        <f>[1]Jul15!X22</f>
        <v>22.49</v>
      </c>
      <c r="Y20" s="28">
        <f>[1]Jul15!Y22</f>
        <v>22.43</v>
      </c>
      <c r="Z20" s="25">
        <f t="shared" si="0"/>
        <v>21.923913043478262</v>
      </c>
      <c r="AA20" s="26">
        <v>15</v>
      </c>
      <c r="AB20" s="27">
        <f t="shared" si="1"/>
        <v>22.49</v>
      </c>
      <c r="AC20" s="27">
        <f t="shared" si="2"/>
        <v>21.68</v>
      </c>
    </row>
    <row r="21" spans="1:29" ht="14.25" customHeight="1" x14ac:dyDescent="0.25">
      <c r="A21" s="23">
        <v>16</v>
      </c>
      <c r="B21" s="28">
        <f>[1]Jul16!B22</f>
        <v>22.42</v>
      </c>
      <c r="C21" s="28">
        <f>[1]Jul16!C22</f>
        <v>22.49</v>
      </c>
      <c r="D21" s="28">
        <f>[1]Jul16!D22</f>
        <v>22.6</v>
      </c>
      <c r="E21" s="28">
        <f>[1]Jul16!E22</f>
        <v>22.69</v>
      </c>
      <c r="F21" s="28">
        <f>[1]Jul16!F22</f>
        <v>22.7</v>
      </c>
      <c r="G21" s="28">
        <f>[1]Jul16!G22</f>
        <v>22.65</v>
      </c>
      <c r="H21" s="28">
        <f>[1]Jul16!H22</f>
        <v>22.57</v>
      </c>
      <c r="I21" s="28">
        <f>[1]Jul16!I22</f>
        <v>22.49</v>
      </c>
      <c r="J21" s="28">
        <f>[1]Jul16!J22</f>
        <v>22.4</v>
      </c>
      <c r="K21" s="28">
        <f>[1]Jul16!K22</f>
        <v>22.31</v>
      </c>
      <c r="L21" s="28">
        <f>[1]Jul16!L22</f>
        <v>22.23</v>
      </c>
      <c r="M21" s="28">
        <f>[1]Jul16!M22</f>
        <v>22.17</v>
      </c>
      <c r="N21" s="28">
        <f>[1]Jul16!N22</f>
        <v>22.12</v>
      </c>
      <c r="O21" s="28">
        <f>[1]Jul16!O22</f>
        <v>22.08</v>
      </c>
      <c r="P21" s="28">
        <f>[1]Jul16!P22</f>
        <v>22.09</v>
      </c>
      <c r="Q21" s="28">
        <f>[1]Jul16!Q22</f>
        <v>22.39</v>
      </c>
      <c r="R21" s="28">
        <f>[1]Jul16!R22</f>
        <v>22.69</v>
      </c>
      <c r="S21" s="28">
        <f>[1]Jul16!S22</f>
        <v>22.6</v>
      </c>
      <c r="T21" s="28">
        <f>[1]Jul16!T22</f>
        <v>22.41</v>
      </c>
      <c r="U21" s="28">
        <f>[1]Jul16!U22</f>
        <v>22.29</v>
      </c>
      <c r="V21" s="28">
        <f>[1]Jul16!V22</f>
        <v>22.19</v>
      </c>
      <c r="W21" s="28">
        <f>[1]Jul16!W22</f>
        <v>22.13</v>
      </c>
      <c r="X21" s="28">
        <f>[1]Jul16!X22</f>
        <v>22.1</v>
      </c>
      <c r="Y21" s="28">
        <f>[1]Jul16!Y22</f>
        <v>22.08</v>
      </c>
      <c r="Z21" s="25">
        <f t="shared" si="0"/>
        <v>22.370416666666667</v>
      </c>
      <c r="AA21" s="26">
        <v>16</v>
      </c>
      <c r="AB21" s="27">
        <f t="shared" si="1"/>
        <v>22.7</v>
      </c>
      <c r="AC21" s="27">
        <f t="shared" si="2"/>
        <v>22.08</v>
      </c>
    </row>
    <row r="22" spans="1:29" ht="14.25" customHeight="1" x14ac:dyDescent="0.25">
      <c r="A22" s="23">
        <v>17</v>
      </c>
      <c r="B22" s="28">
        <f>[1]Jul17!B22</f>
        <v>22.05</v>
      </c>
      <c r="C22" s="28">
        <f>[1]Jul17!C22</f>
        <v>22.01</v>
      </c>
      <c r="D22" s="28">
        <f>[1]Jul17!D22</f>
        <v>21.96</v>
      </c>
      <c r="E22" s="28">
        <f>[1]Jul17!E22</f>
        <v>21.92</v>
      </c>
      <c r="F22" s="28">
        <f>[1]Jul17!F22</f>
        <v>21.9</v>
      </c>
      <c r="G22" s="28">
        <f>[1]Jul17!G22</f>
        <v>21.93</v>
      </c>
      <c r="H22" s="28">
        <f>[1]Jul17!H22</f>
        <v>21.93</v>
      </c>
      <c r="I22" s="28">
        <f>[1]Jul17!I22</f>
        <v>21.9</v>
      </c>
      <c r="J22" s="28">
        <f>[1]Jul17!J22</f>
        <v>21.87</v>
      </c>
      <c r="K22" s="28">
        <f>[1]Jul17!K22</f>
        <v>21.84</v>
      </c>
      <c r="L22" s="28">
        <f>[1]Jul17!L22</f>
        <v>21.82</v>
      </c>
      <c r="M22" s="28">
        <f>[1]Jul17!M22</f>
        <v>21.81</v>
      </c>
      <c r="N22" s="28">
        <f>[1]Jul17!N22</f>
        <v>21.8</v>
      </c>
      <c r="O22" s="28">
        <f>[1]Jul17!O22</f>
        <v>21.77</v>
      </c>
      <c r="P22" s="28">
        <f>[1]Jul17!P22</f>
        <v>21.74</v>
      </c>
      <c r="Q22" s="28">
        <f>[1]Jul17!Q22</f>
        <v>21.71</v>
      </c>
      <c r="R22" s="28">
        <f>[1]Jul17!R22</f>
        <v>21.68</v>
      </c>
      <c r="S22" s="28">
        <f>[1]Jul17!S22</f>
        <v>21.66</v>
      </c>
      <c r="T22" s="28">
        <f>[1]Jul17!T22</f>
        <v>21.65</v>
      </c>
      <c r="U22" s="28">
        <f>[1]Jul17!U22</f>
        <v>21.65</v>
      </c>
      <c r="V22" s="28">
        <f>[1]Jul17!V22</f>
        <v>21.64</v>
      </c>
      <c r="W22" s="28">
        <f>[1]Jul17!W22</f>
        <v>21.64</v>
      </c>
      <c r="X22" s="28">
        <f>[1]Jul17!X22</f>
        <v>21.63</v>
      </c>
      <c r="Y22" s="28">
        <f>[1]Jul17!Y22</f>
        <v>21.63</v>
      </c>
      <c r="Z22" s="25">
        <f t="shared" si="0"/>
        <v>21.797499999999999</v>
      </c>
      <c r="AA22" s="26">
        <v>17</v>
      </c>
      <c r="AB22" s="27">
        <f>MAX(B22:Y22)</f>
        <v>22.05</v>
      </c>
      <c r="AC22" s="27">
        <f>MIN(B22:Y22)</f>
        <v>21.63</v>
      </c>
    </row>
    <row r="23" spans="1:29" ht="14.25" customHeight="1" x14ac:dyDescent="0.25">
      <c r="A23" s="23">
        <v>18</v>
      </c>
      <c r="B23" s="28">
        <f>[1]Jul18!B22</f>
        <v>21.63</v>
      </c>
      <c r="C23" s="28">
        <f>[1]Jul18!C22</f>
        <v>21.62</v>
      </c>
      <c r="D23" s="28">
        <f>[1]Jul18!D22</f>
        <v>21.62</v>
      </c>
      <c r="E23" s="28">
        <f>[1]Jul18!E22</f>
        <v>21.62</v>
      </c>
      <c r="F23" s="28">
        <f>[1]Jul18!F22</f>
        <v>21.61</v>
      </c>
      <c r="G23" s="28">
        <f>[1]Jul18!G22</f>
        <v>21.61</v>
      </c>
      <c r="H23" s="28">
        <f>[1]Jul18!H22</f>
        <v>21.61</v>
      </c>
      <c r="I23" s="28">
        <f>[1]Jul18!I22</f>
        <v>21.6</v>
      </c>
      <c r="J23" s="28">
        <f>[1]Jul18!J22</f>
        <v>21.6</v>
      </c>
      <c r="K23" s="28">
        <f>[1]Jul18!K22</f>
        <v>21.6</v>
      </c>
      <c r="L23" s="28">
        <f>[1]Jul18!L22</f>
        <v>21.59</v>
      </c>
      <c r="M23" s="28">
        <f>[1]Jul18!M22</f>
        <v>21.59</v>
      </c>
      <c r="N23" s="28">
        <f>[1]Jul18!N22</f>
        <v>21.59</v>
      </c>
      <c r="O23" s="28">
        <f>[1]Jul18!O22</f>
        <v>21.59</v>
      </c>
      <c r="P23" s="28">
        <f>[1]Jul18!P22</f>
        <v>21.58</v>
      </c>
      <c r="Q23" s="28">
        <f>[1]Jul18!Q22</f>
        <v>21.58</v>
      </c>
      <c r="R23" s="28">
        <f>[1]Jul18!R22</f>
        <v>21.58</v>
      </c>
      <c r="S23" s="28">
        <f>[1]Jul18!S22</f>
        <v>21.57</v>
      </c>
      <c r="T23" s="28">
        <f>[1]Jul18!T22</f>
        <v>21.57</v>
      </c>
      <c r="U23" s="28">
        <f>[1]Jul18!U22</f>
        <v>21.57</v>
      </c>
      <c r="V23" s="28">
        <f>[1]Jul18!V22</f>
        <v>21.56</v>
      </c>
      <c r="W23" s="28">
        <f>[1]Jul18!W22</f>
        <v>21.56</v>
      </c>
      <c r="X23" s="28">
        <f>[1]Jul18!X22</f>
        <v>21.56</v>
      </c>
      <c r="Y23" s="28">
        <f>[1]Jul18!Y22</f>
        <v>21.55</v>
      </c>
      <c r="Z23" s="25">
        <f t="shared" si="0"/>
        <v>21.589999999999993</v>
      </c>
      <c r="AA23" s="26">
        <v>18</v>
      </c>
      <c r="AB23" s="27">
        <f t="shared" si="1"/>
        <v>21.63</v>
      </c>
      <c r="AC23" s="27">
        <f t="shared" si="2"/>
        <v>21.55</v>
      </c>
    </row>
    <row r="24" spans="1:29" ht="14.25" customHeight="1" x14ac:dyDescent="0.25">
      <c r="A24" s="23">
        <v>19</v>
      </c>
      <c r="B24" s="28">
        <f>[1]Jul19!B22</f>
        <v>21.55</v>
      </c>
      <c r="C24" s="28">
        <f>[1]Jul19!C22</f>
        <v>21.54</v>
      </c>
      <c r="D24" s="28">
        <f>[1]Jul19!D22</f>
        <v>21.54</v>
      </c>
      <c r="E24" s="28">
        <f>[1]Jul19!E22</f>
        <v>21.54</v>
      </c>
      <c r="F24" s="28">
        <f>[1]Jul19!F22</f>
        <v>21.53</v>
      </c>
      <c r="G24" s="28">
        <f>[1]Jul19!G22</f>
        <v>21.53</v>
      </c>
      <c r="H24" s="28">
        <f>[1]Jul19!H22</f>
        <v>21.53</v>
      </c>
      <c r="I24" s="28">
        <f>[1]Jul19!I22</f>
        <v>21.52</v>
      </c>
      <c r="J24" s="28">
        <f>[1]Jul19!J22</f>
        <v>21.52</v>
      </c>
      <c r="K24" s="28">
        <f>[1]Jul19!K22</f>
        <v>21.51</v>
      </c>
      <c r="L24" s="28">
        <f>[1]Jul19!L22</f>
        <v>21.51</v>
      </c>
      <c r="M24" s="28">
        <f>[1]Jul19!M22</f>
        <v>21.5</v>
      </c>
      <c r="N24" s="28">
        <f>[1]Jul19!N22</f>
        <v>21.5</v>
      </c>
      <c r="O24" s="28">
        <f>[1]Jul19!O22</f>
        <v>21.48</v>
      </c>
      <c r="P24" s="28">
        <f>[1]Jul19!P22</f>
        <v>21.48</v>
      </c>
      <c r="Q24" s="28">
        <f>[1]Jul19!Q22</f>
        <v>21.48</v>
      </c>
      <c r="R24" s="28">
        <f>[1]Jul19!R22</f>
        <v>21.47</v>
      </c>
      <c r="S24" s="28">
        <f>[1]Jul19!S22</f>
        <v>21.47</v>
      </c>
      <c r="T24" s="28">
        <f>[1]Jul19!T22</f>
        <v>21.46</v>
      </c>
      <c r="U24" s="28">
        <f>[1]Jul19!U22</f>
        <v>21.45</v>
      </c>
      <c r="V24" s="28">
        <f>[1]Jul19!V22</f>
        <v>21.45</v>
      </c>
      <c r="W24" s="28">
        <f>[1]Jul19!W22</f>
        <v>21.44</v>
      </c>
      <c r="X24" s="28">
        <f>[1]Jul19!X22</f>
        <v>21.44</v>
      </c>
      <c r="Y24" s="28">
        <f>[1]Jul19!Y22</f>
        <v>21.43</v>
      </c>
      <c r="Z24" s="25">
        <f t="shared" si="0"/>
        <v>21.494583333333335</v>
      </c>
      <c r="AA24" s="26">
        <v>19</v>
      </c>
      <c r="AB24" s="27">
        <f t="shared" si="1"/>
        <v>21.55</v>
      </c>
      <c r="AC24" s="27">
        <f t="shared" si="2"/>
        <v>21.43</v>
      </c>
    </row>
    <row r="25" spans="1:29" ht="14.25" customHeight="1" x14ac:dyDescent="0.25">
      <c r="A25" s="23">
        <v>20</v>
      </c>
      <c r="B25" s="28">
        <f>[1]Jul20!B22</f>
        <v>21.43</v>
      </c>
      <c r="C25" s="28">
        <f>[1]Jul20!C22</f>
        <v>21.42</v>
      </c>
      <c r="D25" s="28">
        <f>[1]Jul20!D22</f>
        <v>21.42</v>
      </c>
      <c r="E25" s="28">
        <f>[1]Jul20!E22</f>
        <v>21.41</v>
      </c>
      <c r="F25" s="28">
        <f>[1]Jul20!F22</f>
        <v>21.41</v>
      </c>
      <c r="G25" s="28">
        <f>[1]Jul20!G22</f>
        <v>21.4</v>
      </c>
      <c r="H25" s="28">
        <f>[1]Jul20!H22</f>
        <v>21.4</v>
      </c>
      <c r="I25" s="28">
        <f>[1]Jul20!I22</f>
        <v>21.39</v>
      </c>
      <c r="J25" s="28">
        <f>[1]Jul20!J22</f>
        <v>21.39</v>
      </c>
      <c r="K25" s="28">
        <f>[1]Jul20!K22</f>
        <v>21.39</v>
      </c>
      <c r="L25" s="28">
        <f>[1]Jul20!L22</f>
        <v>21.38</v>
      </c>
      <c r="M25" s="28">
        <f>[1]Jul20!M22</f>
        <v>21.38</v>
      </c>
      <c r="N25" s="28">
        <f>[1]Jul20!N22</f>
        <v>21.37</v>
      </c>
      <c r="O25" s="28">
        <f>[1]Jul20!O22</f>
        <v>21.37</v>
      </c>
      <c r="P25" s="28">
        <f>[1]Jul20!P22</f>
        <v>21.36</v>
      </c>
      <c r="Q25" s="28">
        <f>[1]Jul20!Q22</f>
        <v>21.36</v>
      </c>
      <c r="R25" s="28">
        <f>[1]Jul20!R22</f>
        <v>21.36</v>
      </c>
      <c r="S25" s="28">
        <f>[1]Jul20!S22</f>
        <v>21.35</v>
      </c>
      <c r="T25" s="28">
        <f>[1]Jul20!T22</f>
        <v>21.35</v>
      </c>
      <c r="U25" s="28">
        <f>[1]Jul20!U22</f>
        <v>21.35</v>
      </c>
      <c r="V25" s="28">
        <f>[1]Jul20!V22</f>
        <v>21.34</v>
      </c>
      <c r="W25" s="28">
        <f>[1]Jul20!W22</f>
        <v>21.33</v>
      </c>
      <c r="X25" s="28">
        <f>[1]Jul20!X22</f>
        <v>21.33</v>
      </c>
      <c r="Y25" s="28">
        <f>[1]Jul20!Y22</f>
        <v>21.33</v>
      </c>
      <c r="Z25" s="25">
        <f t="shared" si="0"/>
        <v>21.375833333333336</v>
      </c>
      <c r="AA25" s="26">
        <v>20</v>
      </c>
      <c r="AB25" s="27">
        <f t="shared" si="1"/>
        <v>21.43</v>
      </c>
      <c r="AC25" s="27">
        <f t="shared" si="2"/>
        <v>21.33</v>
      </c>
    </row>
    <row r="26" spans="1:29" ht="14.25" customHeight="1" x14ac:dyDescent="0.25">
      <c r="A26" s="23">
        <v>21</v>
      </c>
      <c r="B26" s="28">
        <f>[1]Jul21!B22</f>
        <v>21.33</v>
      </c>
      <c r="C26" s="28">
        <f>[1]Jul21!C22</f>
        <v>21.32</v>
      </c>
      <c r="D26" s="28">
        <f>[1]Jul21!D22</f>
        <v>21.32</v>
      </c>
      <c r="E26" s="28">
        <f>[1]Jul21!E22</f>
        <v>21.31</v>
      </c>
      <c r="F26" s="28">
        <f>[1]Jul21!F22</f>
        <v>21.32</v>
      </c>
      <c r="G26" s="28">
        <f>[1]Jul21!G22</f>
        <v>21.32</v>
      </c>
      <c r="H26" s="28">
        <f>[1]Jul21!H22</f>
        <v>21.32</v>
      </c>
      <c r="I26" s="28">
        <f>[1]Jul21!I22</f>
        <v>21.32</v>
      </c>
      <c r="J26" s="28">
        <f>[1]Jul21!J22</f>
        <v>21.32</v>
      </c>
      <c r="K26" s="28">
        <f>[1]Jul21!K22</f>
        <v>21.32</v>
      </c>
      <c r="L26" s="28">
        <f>[1]Jul21!L22</f>
        <v>21.32</v>
      </c>
      <c r="M26" s="28">
        <f>[1]Jul21!M22</f>
        <v>21.32</v>
      </c>
      <c r="N26" s="28">
        <f>[1]Jul21!N22</f>
        <v>21.32</v>
      </c>
      <c r="O26" s="28">
        <f>[1]Jul21!O22</f>
        <v>21.32</v>
      </c>
      <c r="P26" s="28">
        <f>[1]Jul21!P22</f>
        <v>21.32</v>
      </c>
      <c r="Q26" s="28">
        <f>[1]Jul21!Q22</f>
        <v>21.32</v>
      </c>
      <c r="R26" s="28">
        <f>[1]Jul21!R22</f>
        <v>21.32</v>
      </c>
      <c r="S26" s="28">
        <f>[1]Jul21!S22</f>
        <v>21.32</v>
      </c>
      <c r="T26" s="28">
        <f>[1]Jul21!T22</f>
        <v>21.32</v>
      </c>
      <c r="U26" s="28">
        <f>[1]Jul21!U22</f>
        <v>21.32</v>
      </c>
      <c r="V26" s="28">
        <f>[1]Jul21!V22</f>
        <v>21.32</v>
      </c>
      <c r="W26" s="28">
        <f>[1]Jul21!W22</f>
        <v>21.32</v>
      </c>
      <c r="X26" s="28">
        <f>[1]Jul21!X22</f>
        <v>21.32</v>
      </c>
      <c r="Y26" s="28">
        <f>[1]Jul21!Y22</f>
        <v>21.32</v>
      </c>
      <c r="Z26" s="25">
        <f t="shared" si="0"/>
        <v>21.319999999999997</v>
      </c>
      <c r="AA26" s="26">
        <v>21</v>
      </c>
      <c r="AB26" s="27">
        <f t="shared" si="1"/>
        <v>21.33</v>
      </c>
      <c r="AC26" s="27">
        <f t="shared" si="2"/>
        <v>21.31</v>
      </c>
    </row>
    <row r="27" spans="1:29" ht="14.25" customHeight="1" x14ac:dyDescent="0.25">
      <c r="A27" s="23">
        <v>22</v>
      </c>
      <c r="B27" s="28">
        <f>[1]Jul22!B22</f>
        <v>21.32</v>
      </c>
      <c r="C27" s="28">
        <f>[1]Jul22!C22</f>
        <v>21.32</v>
      </c>
      <c r="D27" s="28">
        <f>[1]Jul22!D22</f>
        <v>21.32</v>
      </c>
      <c r="E27" s="28">
        <f>[1]Jul22!E22</f>
        <v>21.32</v>
      </c>
      <c r="F27" s="28">
        <f>[1]Jul22!F22</f>
        <v>21.32</v>
      </c>
      <c r="G27" s="28">
        <f>[1]Jul22!G22</f>
        <v>21.32</v>
      </c>
      <c r="H27" s="28">
        <f>[1]Jul22!H22</f>
        <v>21.32</v>
      </c>
      <c r="I27" s="28">
        <f>[1]Jul22!I22</f>
        <v>21.32</v>
      </c>
      <c r="J27" s="28">
        <f>[1]Jul22!J22</f>
        <v>21.32</v>
      </c>
      <c r="K27" s="28">
        <f>[1]Jul22!K22</f>
        <v>21.32</v>
      </c>
      <c r="L27" s="28">
        <f>[1]Jul22!L22</f>
        <v>21.32</v>
      </c>
      <c r="M27" s="28">
        <f>[1]Jul22!M22</f>
        <v>21.32</v>
      </c>
      <c r="N27" s="28">
        <f>[1]Jul22!N22</f>
        <v>21.32</v>
      </c>
      <c r="O27" s="28">
        <f>[1]Jul22!O22</f>
        <v>21.32</v>
      </c>
      <c r="P27" s="28">
        <f>[1]Jul22!P22</f>
        <v>21.32</v>
      </c>
      <c r="Q27" s="28">
        <f>[1]Jul22!Q22</f>
        <v>21.32</v>
      </c>
      <c r="R27" s="28">
        <f>[1]Jul22!R22</f>
        <v>21.32</v>
      </c>
      <c r="S27" s="28">
        <f>[1]Jul22!S22</f>
        <v>21.32</v>
      </c>
      <c r="T27" s="28">
        <f>[1]Jul22!T22</f>
        <v>21.32</v>
      </c>
      <c r="U27" s="28">
        <f>[1]Jul22!U22</f>
        <v>21.32</v>
      </c>
      <c r="V27" s="28">
        <f>[1]Jul22!V22</f>
        <v>21.32</v>
      </c>
      <c r="W27" s="28">
        <f>[1]Jul22!W22</f>
        <v>21.32</v>
      </c>
      <c r="X27" s="28">
        <f>[1]Jul22!X22</f>
        <v>21.32</v>
      </c>
      <c r="Y27" s="28">
        <f>[1]Jul22!Y22</f>
        <v>21.32</v>
      </c>
      <c r="Z27" s="25">
        <f t="shared" si="0"/>
        <v>21.319999999999997</v>
      </c>
      <c r="AA27" s="26">
        <v>22</v>
      </c>
      <c r="AB27" s="27">
        <f t="shared" si="1"/>
        <v>21.32</v>
      </c>
      <c r="AC27" s="27">
        <f t="shared" si="2"/>
        <v>21.32</v>
      </c>
    </row>
    <row r="28" spans="1:29" ht="14.25" customHeight="1" x14ac:dyDescent="0.25">
      <c r="A28" s="23">
        <v>23</v>
      </c>
      <c r="B28" s="28">
        <f>[1]Jul23!B22</f>
        <v>21.32</v>
      </c>
      <c r="C28" s="28">
        <f>[1]Jul23!C22</f>
        <v>21.32</v>
      </c>
      <c r="D28" s="28">
        <f>[1]Jul23!D22</f>
        <v>21.32</v>
      </c>
      <c r="E28" s="28">
        <f>[1]Jul23!E22</f>
        <v>21.32</v>
      </c>
      <c r="F28" s="28">
        <f>[1]Jul23!F22</f>
        <v>21.31</v>
      </c>
      <c r="G28" s="28">
        <f>[1]Jul23!G22</f>
        <v>21.32</v>
      </c>
      <c r="H28" s="28">
        <f>[1]Jul23!H22</f>
        <v>21.32</v>
      </c>
      <c r="I28" s="28">
        <f>[1]Jul23!I22</f>
        <v>21.32</v>
      </c>
      <c r="J28" s="28">
        <f>[1]Jul23!J22</f>
        <v>21.32</v>
      </c>
      <c r="K28" s="28">
        <f>[1]Jul23!K22</f>
        <v>21.32</v>
      </c>
      <c r="L28" s="28">
        <f>[1]Jul23!L22</f>
        <v>21.32</v>
      </c>
      <c r="M28" s="28">
        <f>[1]Jul23!M22</f>
        <v>21.32</v>
      </c>
      <c r="N28" s="28">
        <f>[1]Jul23!N22</f>
        <v>21.32</v>
      </c>
      <c r="O28" s="28">
        <f>[1]Jul23!O22</f>
        <v>21.7</v>
      </c>
      <c r="P28" s="28">
        <f>[1]Jul23!P22</f>
        <v>21.63</v>
      </c>
      <c r="Q28" s="28">
        <f>[1]Jul23!Q22</f>
        <v>21.62</v>
      </c>
      <c r="R28" s="28">
        <f>[1]Jul23!R22</f>
        <v>21.61</v>
      </c>
      <c r="S28" s="28">
        <f>[1]Jul23!S22</f>
        <v>21.73</v>
      </c>
      <c r="T28" s="28">
        <f>[1]Jul23!T22</f>
        <v>21.81</v>
      </c>
      <c r="U28" s="28">
        <f>[1]Jul23!U22</f>
        <v>21.82</v>
      </c>
      <c r="V28" s="28">
        <f>[1]Jul23!V22</f>
        <v>21.78</v>
      </c>
      <c r="W28" s="28">
        <f>[1]Jul23!W22</f>
        <v>21.71</v>
      </c>
      <c r="X28" s="28">
        <f>[1]Jul23!X22</f>
        <v>21.64</v>
      </c>
      <c r="Y28" s="28">
        <f>[1]Jul23!Y22</f>
        <v>21.63</v>
      </c>
      <c r="Z28" s="25">
        <f t="shared" si="0"/>
        <v>21.49291666666667</v>
      </c>
      <c r="AA28" s="26">
        <v>23</v>
      </c>
      <c r="AB28" s="27">
        <f t="shared" si="1"/>
        <v>21.82</v>
      </c>
      <c r="AC28" s="27">
        <f t="shared" si="2"/>
        <v>21.31</v>
      </c>
    </row>
    <row r="29" spans="1:29" ht="14.25" customHeight="1" x14ac:dyDescent="0.25">
      <c r="A29" s="23">
        <v>24</v>
      </c>
      <c r="B29" s="28">
        <f>[1]Jul24!B22</f>
        <v>21.62</v>
      </c>
      <c r="C29" s="28">
        <f>[1]Jul24!C22</f>
        <v>21.62</v>
      </c>
      <c r="D29" s="28">
        <f>[1]Jul24!D22</f>
        <v>21.62</v>
      </c>
      <c r="E29" s="28">
        <f>[1]Jul24!E22</f>
        <v>21.61</v>
      </c>
      <c r="F29" s="28">
        <f>[1]Jul24!F22</f>
        <v>21.61</v>
      </c>
      <c r="G29" s="28">
        <f>[1]Jul24!G22</f>
        <v>21.6</v>
      </c>
      <c r="H29" s="28">
        <f>[1]Jul24!H22</f>
        <v>21.6</v>
      </c>
      <c r="I29" s="28">
        <f>[1]Jul24!I22</f>
        <v>21.59</v>
      </c>
      <c r="J29" s="28">
        <f>[1]Jul24!J22</f>
        <v>21.58</v>
      </c>
      <c r="K29" s="28">
        <f>[1]Jul24!K22</f>
        <v>21.58</v>
      </c>
      <c r="L29" s="28">
        <f>[1]Jul24!L22</f>
        <v>21.57</v>
      </c>
      <c r="M29" s="28">
        <f>[1]Jul24!M22</f>
        <v>21.56</v>
      </c>
      <c r="N29" s="28">
        <f>[1]Jul24!N22</f>
        <v>21.56</v>
      </c>
      <c r="O29" s="28">
        <f>[1]Jul24!O22</f>
        <v>21.77</v>
      </c>
      <c r="P29" s="28" t="str">
        <f>[1]Jul24!P22</f>
        <v>**</v>
      </c>
      <c r="Q29" s="28" t="str">
        <f>[1]Jul24!Q22</f>
        <v>**</v>
      </c>
      <c r="R29" s="28" t="str">
        <f>[1]Jul24!R22</f>
        <v>**</v>
      </c>
      <c r="S29" s="28" t="str">
        <f>[1]Jul24!S22</f>
        <v>**</v>
      </c>
      <c r="T29" s="28">
        <f>[1]Jul24!T22</f>
        <v>22.53</v>
      </c>
      <c r="U29" s="28">
        <f>[1]Jul24!U22</f>
        <v>22.53</v>
      </c>
      <c r="V29" s="28">
        <f>[1]Jul24!V22</f>
        <v>22.29</v>
      </c>
      <c r="W29" s="28">
        <f>[1]Jul24!W22</f>
        <v>22.14</v>
      </c>
      <c r="X29" s="28">
        <f>[1]Jul24!X22</f>
        <v>22.04</v>
      </c>
      <c r="Y29" s="28">
        <f>[1]Jul24!Y22</f>
        <v>21.92</v>
      </c>
      <c r="Z29" s="25">
        <f t="shared" si="0"/>
        <v>21.797000000000001</v>
      </c>
      <c r="AA29" s="26">
        <v>24</v>
      </c>
      <c r="AB29" s="27">
        <f t="shared" si="1"/>
        <v>22.53</v>
      </c>
      <c r="AC29" s="27">
        <f>MIN(B29:Y29)</f>
        <v>21.56</v>
      </c>
    </row>
    <row r="30" spans="1:29" ht="14.25" customHeight="1" x14ac:dyDescent="0.25">
      <c r="A30" s="23">
        <v>25</v>
      </c>
      <c r="B30" s="28">
        <f>[1]Jul25!B22</f>
        <v>21.83</v>
      </c>
      <c r="C30" s="28">
        <f>[1]Jul25!C22</f>
        <v>21.75</v>
      </c>
      <c r="D30" s="28">
        <f>[1]Jul25!D22</f>
        <v>21.69</v>
      </c>
      <c r="E30" s="28">
        <f>[1]Jul25!E22</f>
        <v>21.65</v>
      </c>
      <c r="F30" s="28">
        <f>[1]Jul25!F22</f>
        <v>21.64</v>
      </c>
      <c r="G30" s="28">
        <f>[1]Jul25!G22</f>
        <v>21.63</v>
      </c>
      <c r="H30" s="28">
        <f>[1]Jul25!H22</f>
        <v>21.63</v>
      </c>
      <c r="I30" s="28">
        <f>[1]Jul25!I22</f>
        <v>21.63</v>
      </c>
      <c r="J30" s="28">
        <f>[1]Jul25!J22</f>
        <v>21.62</v>
      </c>
      <c r="K30" s="28">
        <f>[1]Jul25!K22</f>
        <v>21.62</v>
      </c>
      <c r="L30" s="28">
        <f>[1]Jul25!L22</f>
        <v>21.61</v>
      </c>
      <c r="M30" s="28">
        <f>[1]Jul25!M22</f>
        <v>21.61</v>
      </c>
      <c r="N30" s="28">
        <f>[1]Jul25!N22</f>
        <v>21.61</v>
      </c>
      <c r="O30" s="28">
        <f>[1]Jul25!O22</f>
        <v>21.61</v>
      </c>
      <c r="P30" s="28">
        <f>[1]Jul25!P22</f>
        <v>21.6</v>
      </c>
      <c r="Q30" s="28">
        <f>[1]Jul25!Q22</f>
        <v>21.6</v>
      </c>
      <c r="R30" s="28">
        <f>[1]Jul25!R22</f>
        <v>21.6</v>
      </c>
      <c r="S30" s="28">
        <f>[1]Jul25!S22</f>
        <v>21.6</v>
      </c>
      <c r="T30" s="28">
        <f>[1]Jul25!T22</f>
        <v>21.6</v>
      </c>
      <c r="U30" s="28">
        <f>[1]Jul25!U22</f>
        <v>21.84</v>
      </c>
      <c r="V30" s="28">
        <f>[1]Jul25!V22</f>
        <v>21.99</v>
      </c>
      <c r="W30" s="28">
        <f>[1]Jul25!W22</f>
        <v>22.31</v>
      </c>
      <c r="X30" s="28">
        <f>[1]Jul25!X22</f>
        <v>22.57</v>
      </c>
      <c r="Y30" s="28">
        <f>[1]Jul25!Y22</f>
        <v>22.68</v>
      </c>
      <c r="Z30" s="25">
        <f t="shared" si="0"/>
        <v>21.771666666666672</v>
      </c>
      <c r="AA30" s="26">
        <v>25</v>
      </c>
      <c r="AB30" s="27">
        <f t="shared" si="1"/>
        <v>22.68</v>
      </c>
      <c r="AC30" s="27">
        <f t="shared" si="2"/>
        <v>21.6</v>
      </c>
    </row>
    <row r="31" spans="1:29" ht="14.25" customHeight="1" x14ac:dyDescent="0.25">
      <c r="A31" s="23">
        <v>26</v>
      </c>
      <c r="B31" s="28">
        <f>[1]Jul26!B22</f>
        <v>22.69</v>
      </c>
      <c r="C31" s="28">
        <f>[1]Jul26!C22</f>
        <v>22.71</v>
      </c>
      <c r="D31" s="28">
        <f>[1]Jul26!D22</f>
        <v>22.66</v>
      </c>
      <c r="E31" s="28">
        <f>[1]Jul26!E22</f>
        <v>22.56</v>
      </c>
      <c r="F31" s="28">
        <f>[1]Jul26!F22</f>
        <v>22.47</v>
      </c>
      <c r="G31" s="28">
        <f>[1]Jul26!G22</f>
        <v>22.52</v>
      </c>
      <c r="H31" s="28">
        <f>[1]Jul26!H22</f>
        <v>22.64</v>
      </c>
      <c r="I31" s="28">
        <f>[1]Jul26!I22</f>
        <v>22.66</v>
      </c>
      <c r="J31" s="28">
        <f>[1]Jul26!J22</f>
        <v>22.61</v>
      </c>
      <c r="K31" s="28">
        <f>[1]Jul26!K22</f>
        <v>22.65</v>
      </c>
      <c r="L31" s="28">
        <f>[1]Jul26!L22</f>
        <v>22.69</v>
      </c>
      <c r="M31" s="28">
        <f>[1]Jul26!M22</f>
        <v>22.8</v>
      </c>
      <c r="N31" s="28">
        <f>[1]Jul26!N22</f>
        <v>22.87</v>
      </c>
      <c r="O31" s="28">
        <f>[1]Jul26!O22</f>
        <v>22.86</v>
      </c>
      <c r="P31" s="28">
        <f>[1]Jul26!P22</f>
        <v>22.99</v>
      </c>
      <c r="Q31" s="28" t="str">
        <f>[1]Jul26!Q22</f>
        <v>**</v>
      </c>
      <c r="R31" s="28" t="str">
        <f>[1]Jul26!R22</f>
        <v>**</v>
      </c>
      <c r="S31" s="28">
        <f>[1]Jul26!S22</f>
        <v>24</v>
      </c>
      <c r="T31" s="28">
        <f>[1]Jul26!T22</f>
        <v>24.04</v>
      </c>
      <c r="U31" s="28">
        <f>[1]Jul26!U22</f>
        <v>24.36</v>
      </c>
      <c r="V31" s="28">
        <f>[1]Jul26!V22</f>
        <v>24.52</v>
      </c>
      <c r="W31" s="28">
        <f>[1]Jul26!W22</f>
        <v>24.75</v>
      </c>
      <c r="X31" s="28" t="str">
        <f>[1]Jul26!X22</f>
        <v>**</v>
      </c>
      <c r="Y31" s="28" t="str">
        <f>[1]Jul26!Y22</f>
        <v>**</v>
      </c>
      <c r="Z31" s="25">
        <f t="shared" si="0"/>
        <v>23.102499999999999</v>
      </c>
      <c r="AA31" s="26">
        <v>26</v>
      </c>
      <c r="AB31" s="27">
        <f t="shared" si="1"/>
        <v>24.75</v>
      </c>
      <c r="AC31" s="27">
        <f>MIN(B31:Y31)</f>
        <v>22.47</v>
      </c>
    </row>
    <row r="32" spans="1:29" ht="14.25" customHeight="1" x14ac:dyDescent="0.25">
      <c r="A32" s="23">
        <v>27</v>
      </c>
      <c r="B32" s="28" t="str">
        <f>[1]Jul27!B22</f>
        <v>**</v>
      </c>
      <c r="C32" s="28" t="str">
        <f>[1]Jul27!C22</f>
        <v>**</v>
      </c>
      <c r="D32" s="28" t="str">
        <f>[1]Jul27!D22</f>
        <v>**</v>
      </c>
      <c r="E32" s="28">
        <f>[1]Jul27!E22</f>
        <v>24.98</v>
      </c>
      <c r="F32" s="28">
        <f>[1]Jul27!F22</f>
        <v>24.78</v>
      </c>
      <c r="G32" s="28">
        <f>[1]Jul27!G22</f>
        <v>24.61</v>
      </c>
      <c r="H32" s="28">
        <f>[1]Jul27!H22</f>
        <v>24.58</v>
      </c>
      <c r="I32" s="28">
        <f>[1]Jul27!I22</f>
        <v>24.47</v>
      </c>
      <c r="J32" s="28">
        <f>[1]Jul27!J22</f>
        <v>24.33</v>
      </c>
      <c r="K32" s="28">
        <f>[1]Jul27!K22</f>
        <v>24.2</v>
      </c>
      <c r="L32" s="28">
        <f>[1]Jul27!L22</f>
        <v>24.16</v>
      </c>
      <c r="M32" s="28">
        <f>[1]Jul27!M22</f>
        <v>24.1</v>
      </c>
      <c r="N32" s="28" t="str">
        <f>[1]Jul27!N22</f>
        <v>**</v>
      </c>
      <c r="O32" s="28" t="str">
        <f>[1]Jul27!O22</f>
        <v>**</v>
      </c>
      <c r="P32" s="28" t="str">
        <f>[1]Jul27!P22</f>
        <v>**</v>
      </c>
      <c r="Q32" s="28" t="str">
        <f>[1]Jul27!Q22</f>
        <v>**</v>
      </c>
      <c r="R32" s="28" t="str">
        <f>[1]Jul27!R22</f>
        <v>**</v>
      </c>
      <c r="S32" s="28" t="str">
        <f>[1]Jul27!S22</f>
        <v>**</v>
      </c>
      <c r="T32" s="28" t="str">
        <f>[1]Jul27!T22</f>
        <v>**</v>
      </c>
      <c r="U32" s="28" t="str">
        <f>[1]Jul27!U22</f>
        <v>**</v>
      </c>
      <c r="V32" s="28" t="str">
        <f>[1]Jul27!V22</f>
        <v>**</v>
      </c>
      <c r="W32" s="28" t="str">
        <f>[1]Jul27!W22</f>
        <v>**</v>
      </c>
      <c r="X32" s="28" t="str">
        <f>[1]Jul27!X22</f>
        <v>**</v>
      </c>
      <c r="Y32" s="28">
        <f>[1]Jul27!Y22</f>
        <v>24</v>
      </c>
      <c r="Z32" s="25">
        <f t="shared" si="0"/>
        <v>24.420999999999999</v>
      </c>
      <c r="AA32" s="26">
        <v>27</v>
      </c>
      <c r="AB32" s="27">
        <f t="shared" si="1"/>
        <v>24.98</v>
      </c>
      <c r="AC32" s="27">
        <f t="shared" si="2"/>
        <v>24</v>
      </c>
    </row>
    <row r="33" spans="1:29" ht="14.25" customHeight="1" x14ac:dyDescent="0.25">
      <c r="A33" s="23">
        <v>28</v>
      </c>
      <c r="B33" s="28" t="str">
        <f>[1]Jul28!B22</f>
        <v>**</v>
      </c>
      <c r="C33" s="28" t="str">
        <f>[1]Jul28!C22</f>
        <v>**</v>
      </c>
      <c r="D33" s="28" t="str">
        <f>[1]Jul28!D22</f>
        <v>**</v>
      </c>
      <c r="E33" s="28" t="str">
        <f>[1]Jul28!E22</f>
        <v>**</v>
      </c>
      <c r="F33" s="28" t="str">
        <f>[1]Jul28!F22</f>
        <v>**</v>
      </c>
      <c r="G33" s="28" t="str">
        <f>[1]Jul28!G22</f>
        <v>**</v>
      </c>
      <c r="H33" s="28" t="str">
        <f>[1]Jul28!H22</f>
        <v>**</v>
      </c>
      <c r="I33" s="28" t="str">
        <f>[1]Jul28!I22</f>
        <v>**</v>
      </c>
      <c r="J33" s="28" t="str">
        <f>[1]Jul28!J22</f>
        <v>**</v>
      </c>
      <c r="K33" s="28" t="str">
        <f>[1]Jul28!K22</f>
        <v>**</v>
      </c>
      <c r="L33" s="28" t="str">
        <f>[1]Jul28!L22</f>
        <v>**</v>
      </c>
      <c r="M33" s="28" t="str">
        <f>[1]Jul28!M22</f>
        <v>**</v>
      </c>
      <c r="N33" s="28" t="str">
        <f>[1]Jul28!N22</f>
        <v>**</v>
      </c>
      <c r="O33" s="28" t="str">
        <f>[1]Jul28!O22</f>
        <v>**</v>
      </c>
      <c r="P33" s="28" t="str">
        <f>[1]Jul28!P22</f>
        <v>**</v>
      </c>
      <c r="Q33" s="28" t="str">
        <f>[1]Jul28!Q22</f>
        <v>**</v>
      </c>
      <c r="R33" s="28" t="str">
        <f>[1]Jul28!R22</f>
        <v>**</v>
      </c>
      <c r="S33" s="28" t="str">
        <f>[1]Jul28!S22</f>
        <v>**</v>
      </c>
      <c r="T33" s="28" t="str">
        <f>[1]Jul28!T22</f>
        <v>**</v>
      </c>
      <c r="U33" s="28" t="str">
        <f>[1]Jul28!U22</f>
        <v>**</v>
      </c>
      <c r="V33" s="28" t="str">
        <f>[1]Jul28!V22</f>
        <v>**</v>
      </c>
      <c r="W33" s="28" t="str">
        <f>[1]Jul28!W22</f>
        <v>**</v>
      </c>
      <c r="X33" s="28" t="str">
        <f>[1]Jul28!X22</f>
        <v>**</v>
      </c>
      <c r="Y33" s="28" t="str">
        <f>[1]Jul28!Y22</f>
        <v>**</v>
      </c>
      <c r="Z33" s="25" t="s">
        <v>13</v>
      </c>
      <c r="AA33" s="26">
        <v>28</v>
      </c>
      <c r="AB33" s="27">
        <f t="shared" si="1"/>
        <v>0</v>
      </c>
      <c r="AC33" s="27">
        <f t="shared" si="2"/>
        <v>0</v>
      </c>
    </row>
    <row r="34" spans="1:29" ht="14.25" customHeight="1" x14ac:dyDescent="0.25">
      <c r="A34" s="23">
        <v>29</v>
      </c>
      <c r="B34" s="28" t="str">
        <f>[1]Jul29!B22</f>
        <v>**</v>
      </c>
      <c r="C34" s="28" t="str">
        <f>[1]Jul29!C22</f>
        <v>**</v>
      </c>
      <c r="D34" s="28" t="str">
        <f>[1]Jul29!D22</f>
        <v>**</v>
      </c>
      <c r="E34" s="28" t="str">
        <f>[1]Jul29!E22</f>
        <v>**</v>
      </c>
      <c r="F34" s="28" t="str">
        <f>[1]Jul29!F22</f>
        <v>**</v>
      </c>
      <c r="G34" s="28" t="str">
        <f>[1]Jul29!G22</f>
        <v>**</v>
      </c>
      <c r="H34" s="28" t="str">
        <f>[1]Jul29!H22</f>
        <v>**</v>
      </c>
      <c r="I34" s="28" t="str">
        <f>[1]Jul29!I22</f>
        <v>**</v>
      </c>
      <c r="J34" s="28" t="str">
        <f>[1]Jul29!J22</f>
        <v>**</v>
      </c>
      <c r="K34" s="28" t="str">
        <f>[1]Jul29!K22</f>
        <v>**</v>
      </c>
      <c r="L34" s="28" t="str">
        <f>[1]Jul29!L22</f>
        <v>**</v>
      </c>
      <c r="M34" s="28" t="str">
        <f>[1]Jul29!M22</f>
        <v>**</v>
      </c>
      <c r="N34" s="28" t="str">
        <f>[1]Jul29!N22</f>
        <v>**</v>
      </c>
      <c r="O34" s="28" t="str">
        <f>[1]Jul29!O22</f>
        <v>**</v>
      </c>
      <c r="P34" s="28" t="str">
        <f>[1]Jul29!P22</f>
        <v>**</v>
      </c>
      <c r="Q34" s="28" t="str">
        <f>[1]Jul29!Q22</f>
        <v>**</v>
      </c>
      <c r="R34" s="28">
        <f>[1]Jul29!R22</f>
        <v>24.91</v>
      </c>
      <c r="S34" s="28">
        <f>[1]Jul29!S22</f>
        <v>24.81</v>
      </c>
      <c r="T34" s="28">
        <f>[1]Jul29!T22</f>
        <v>24.7</v>
      </c>
      <c r="U34" s="28">
        <f>[1]Jul29!U22</f>
        <v>24.58</v>
      </c>
      <c r="V34" s="28">
        <f>[1]Jul29!V22</f>
        <v>24.41</v>
      </c>
      <c r="W34" s="28">
        <f>[1]Jul29!W22</f>
        <v>24.27</v>
      </c>
      <c r="X34" s="28">
        <f>[1]Jul29!X22</f>
        <v>24.11</v>
      </c>
      <c r="Y34" s="28" t="str">
        <f>[1]Jul29!Y22</f>
        <v>**</v>
      </c>
      <c r="Z34" s="25">
        <f t="shared" si="0"/>
        <v>24.541428571428575</v>
      </c>
      <c r="AA34" s="26">
        <v>29</v>
      </c>
      <c r="AB34" s="27">
        <f t="shared" si="1"/>
        <v>24.91</v>
      </c>
      <c r="AC34" s="27">
        <f t="shared" si="2"/>
        <v>24.11</v>
      </c>
    </row>
    <row r="35" spans="1:29" ht="14.25" customHeight="1" x14ac:dyDescent="0.25">
      <c r="A35" s="23">
        <v>30</v>
      </c>
      <c r="B35" s="28" t="str">
        <f>[1]Jul30!B22</f>
        <v>**</v>
      </c>
      <c r="C35" s="28" t="str">
        <f>[1]Jul30!C22</f>
        <v>**</v>
      </c>
      <c r="D35" s="28" t="str">
        <f>[1]Jul30!D22</f>
        <v>**</v>
      </c>
      <c r="E35" s="28" t="str">
        <f>[1]Jul30!E22</f>
        <v>**</v>
      </c>
      <c r="F35" s="28" t="str">
        <f>[1]Jul30!F22</f>
        <v>**</v>
      </c>
      <c r="G35" s="28" t="str">
        <f>[1]Jul30!G22</f>
        <v>**</v>
      </c>
      <c r="H35" s="28" t="str">
        <f>[1]Jul30!H22</f>
        <v>**</v>
      </c>
      <c r="I35" s="28" t="str">
        <f>[1]Jul30!I22</f>
        <v>**</v>
      </c>
      <c r="J35" s="28" t="str">
        <f>[1]Jul30!J22</f>
        <v>**</v>
      </c>
      <c r="K35" s="28" t="str">
        <f>[1]Jul30!K22</f>
        <v>**</v>
      </c>
      <c r="L35" s="28" t="str">
        <f>[1]Jul30!L22</f>
        <v>**</v>
      </c>
      <c r="M35" s="28" t="str">
        <f>[1]Jul30!M22</f>
        <v>**</v>
      </c>
      <c r="N35" s="28" t="str">
        <f>[1]Jul30!N22</f>
        <v>***</v>
      </c>
      <c r="O35" s="28">
        <f>[1]Jul30!O22</f>
        <v>22.95</v>
      </c>
      <c r="P35" s="28">
        <f>[1]Jul30!P22</f>
        <v>22.9</v>
      </c>
      <c r="Q35" s="28">
        <f>[1]Jul30!Q22</f>
        <v>22.87</v>
      </c>
      <c r="R35" s="28">
        <f>[1]Jul30!R22</f>
        <v>22.85</v>
      </c>
      <c r="S35" s="28">
        <f>[1]Jul30!S22</f>
        <v>22.8</v>
      </c>
      <c r="T35" s="28">
        <f>[1]Jul30!T22</f>
        <v>22.81</v>
      </c>
      <c r="U35" s="28">
        <f>[1]Jul30!U22</f>
        <v>22.83</v>
      </c>
      <c r="V35" s="28">
        <f>[1]Jul30!V22</f>
        <v>22.84</v>
      </c>
      <c r="W35" s="28">
        <f>[1]Jul30!W22</f>
        <v>22.84</v>
      </c>
      <c r="X35" s="28">
        <f>[1]Jul30!X22</f>
        <v>22.83</v>
      </c>
      <c r="Y35" s="28">
        <f>[1]Jul30!Y22</f>
        <v>22.88</v>
      </c>
      <c r="Z35" s="25">
        <f t="shared" si="0"/>
        <v>22.854545454545452</v>
      </c>
      <c r="AA35" s="26">
        <v>30</v>
      </c>
      <c r="AB35" s="27">
        <f t="shared" si="1"/>
        <v>22.95</v>
      </c>
      <c r="AC35" s="27">
        <f>MIN(B35:Y35)</f>
        <v>22.8</v>
      </c>
    </row>
    <row r="36" spans="1:29" ht="14.25" customHeight="1" x14ac:dyDescent="0.25">
      <c r="A36" s="23">
        <v>31</v>
      </c>
      <c r="B36" s="28">
        <f>[1]Jul31!B22</f>
        <v>22.92</v>
      </c>
      <c r="C36" s="28">
        <f>[1]Jul31!C22</f>
        <v>22.96</v>
      </c>
      <c r="D36" s="28">
        <f>[1]Jul31!D22</f>
        <v>22.96</v>
      </c>
      <c r="E36" s="28">
        <f>[1]Jul31!E22</f>
        <v>22.94</v>
      </c>
      <c r="F36" s="28">
        <f>[1]Jul31!F22</f>
        <v>22.92</v>
      </c>
      <c r="G36" s="28">
        <f>[1]Jul31!G22</f>
        <v>22.92</v>
      </c>
      <c r="H36" s="28">
        <f>[1]Jul31!H22</f>
        <v>22.94</v>
      </c>
      <c r="I36" s="28">
        <f>[1]Jul31!I22</f>
        <v>22.99</v>
      </c>
      <c r="J36" s="28" t="str">
        <f>[1]Jul31!J22</f>
        <v>**</v>
      </c>
      <c r="K36" s="28" t="str">
        <f>[1]Jul31!K22</f>
        <v>**</v>
      </c>
      <c r="L36" s="28" t="str">
        <f>[1]Jul31!L22</f>
        <v>**</v>
      </c>
      <c r="M36" s="28" t="str">
        <f>[1]Jul31!M22</f>
        <v>**</v>
      </c>
      <c r="N36" s="28" t="str">
        <f>[1]Jul31!N22</f>
        <v>**</v>
      </c>
      <c r="O36" s="28" t="str">
        <f>[1]Jul31!O22</f>
        <v>**</v>
      </c>
      <c r="P36" s="28" t="str">
        <f>[1]Jul31!P22</f>
        <v>**</v>
      </c>
      <c r="Q36" s="28">
        <f>[1]Jul31!Q22</f>
        <v>22.98</v>
      </c>
      <c r="R36" s="28">
        <f>[1]Jul31!R22</f>
        <v>22.91</v>
      </c>
      <c r="S36" s="28">
        <f>[1]Jul31!S22</f>
        <v>22.86</v>
      </c>
      <c r="T36" s="28">
        <f>[1]Jul31!T22</f>
        <v>22.8</v>
      </c>
      <c r="U36" s="28">
        <f>[1]Jul31!U22</f>
        <v>22.79</v>
      </c>
      <c r="V36" s="28">
        <f>[1]Jul31!V22</f>
        <v>22.75</v>
      </c>
      <c r="W36" s="28">
        <f>[1]Jul31!W22</f>
        <v>22.8</v>
      </c>
      <c r="X36" s="28">
        <f>[1]Jul31!X22</f>
        <v>22.77</v>
      </c>
      <c r="Y36" s="28">
        <f>[1]Jul31!Y22</f>
        <v>22.8</v>
      </c>
      <c r="Z36" s="25">
        <f t="shared" si="0"/>
        <v>22.882941176470592</v>
      </c>
      <c r="AA36" s="26">
        <v>31</v>
      </c>
      <c r="AB36" s="27">
        <f t="shared" si="1"/>
        <v>22.99</v>
      </c>
      <c r="AC36" s="27">
        <f t="shared" si="2"/>
        <v>22.75</v>
      </c>
    </row>
    <row r="37" spans="1:29" ht="14.25" customHeight="1" x14ac:dyDescent="0.2">
      <c r="A37" s="23" t="s">
        <v>9</v>
      </c>
      <c r="B37" s="28"/>
      <c r="C37" s="28"/>
      <c r="D37" s="28"/>
      <c r="E37" s="28"/>
      <c r="F37" s="28"/>
      <c r="G37" s="28"/>
      <c r="H37" s="2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>
        <f>AVERAGE(Z6:Z36)</f>
        <v>21.846952728970372</v>
      </c>
      <c r="AA37" s="17"/>
      <c r="AB37" s="17"/>
      <c r="AC37" s="17"/>
    </row>
    <row r="38" spans="1:29" ht="14.25" customHeight="1" x14ac:dyDescent="0.2">
      <c r="A38" s="23" t="s">
        <v>14</v>
      </c>
      <c r="B38" s="32"/>
      <c r="C38" s="32"/>
      <c r="D38" s="32"/>
      <c r="E38" s="33">
        <f>AVERAGE(E6:E36)</f>
        <v>21.688928571428573</v>
      </c>
      <c r="F38" s="32"/>
      <c r="G38" s="32"/>
      <c r="H38" s="32"/>
      <c r="I38" s="34"/>
      <c r="J38" s="34">
        <f>AVERAGE(J6:J36)</f>
        <v>21.601851851851851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21.732857142857139</v>
      </c>
      <c r="Z38" s="25">
        <f>AVERAGE(E38,J38,Y38)</f>
        <v>21.67454585537919</v>
      </c>
      <c r="AA38" s="35" t="s">
        <v>15</v>
      </c>
      <c r="AB38" s="36">
        <f>AVERAGE(AB6:AB36)</f>
        <v>21.388387096774192</v>
      </c>
      <c r="AC38" s="36">
        <f>AVERAGE(AC6:AC36)</f>
        <v>21.017419354838708</v>
      </c>
    </row>
    <row r="39" spans="1:29" x14ac:dyDescent="0.2">
      <c r="B39" s="37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2024-08-06T05:15:14Z</dcterms:created>
  <dcterms:modified xsi:type="dcterms:W3CDTF">2024-08-06T05:15:22Z</dcterms:modified>
</cp:coreProperties>
</file>