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BBF4E741-1356-4524-B9AD-4119F142069A}" xr6:coauthVersionLast="47" xr6:coauthVersionMax="47" xr10:uidLastSave="{00000000-0000-0000-0000-000000000000}"/>
  <bookViews>
    <workbookView xWindow="-108" yWindow="-108" windowWidth="23256" windowHeight="12456" xr2:uid="{D396BB2B-5945-4FE5-ABD0-8891D9BC2A2E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C33" i="1" s="1"/>
  <c r="C33" i="1"/>
  <c r="B33" i="1"/>
  <c r="AB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C25" i="1" s="1"/>
  <c r="C25" i="1"/>
  <c r="B25" i="1"/>
  <c r="AB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C20" i="1" s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AC18" i="1" s="1"/>
  <c r="AC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B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B12" i="1" s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C9" i="1" s="1"/>
  <c r="C9" i="1"/>
  <c r="B9" i="1"/>
  <c r="AB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B6" i="1"/>
  <c r="Z6" i="1" s="1"/>
  <c r="AB6" i="1" l="1"/>
  <c r="Z9" i="1"/>
  <c r="AC11" i="1"/>
  <c r="AB14" i="1"/>
  <c r="Z17" i="1"/>
  <c r="AC19" i="1"/>
  <c r="AB22" i="1"/>
  <c r="Z25" i="1"/>
  <c r="AC27" i="1"/>
  <c r="AB30" i="1"/>
  <c r="Z33" i="1"/>
  <c r="AC35" i="1"/>
  <c r="AC6" i="1"/>
  <c r="AC14" i="1"/>
  <c r="AC22" i="1"/>
  <c r="AC30" i="1"/>
  <c r="Z7" i="1"/>
  <c r="Z36" i="1" s="1"/>
  <c r="Z15" i="1"/>
  <c r="AB20" i="1"/>
  <c r="AB7" i="1"/>
  <c r="Z10" i="1"/>
  <c r="AC12" i="1"/>
  <c r="AB15" i="1"/>
  <c r="Z18" i="1"/>
  <c r="AB23" i="1"/>
  <c r="Z26" i="1"/>
  <c r="AC28" i="1"/>
  <c r="AB31" i="1"/>
  <c r="Z34" i="1"/>
  <c r="Z21" i="1"/>
  <c r="AC23" i="1"/>
  <c r="AB26" i="1"/>
  <c r="Z29" i="1"/>
  <c r="AC31" i="1"/>
  <c r="AB34" i="1"/>
  <c r="Z13" i="1"/>
  <c r="Z8" i="1"/>
  <c r="AB13" i="1"/>
  <c r="Z16" i="1"/>
  <c r="AB21" i="1"/>
  <c r="Z24" i="1"/>
  <c r="AB29" i="1"/>
  <c r="Z32" i="1"/>
  <c r="AC37" i="1" l="1"/>
  <c r="AB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<sst xmlns="http://schemas.openxmlformats.org/spreadsheetml/2006/main" count="18" uniqueCount="16">
  <si>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</si>
  <si>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</si>
  <si>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September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</si>
  <si>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</si>
  <si>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</si>
  <si>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</si>
  <si>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</si>
  <si>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</si>
  <si>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September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</si>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</sst>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E5FB7F54-233B-44F7-BD88-C5DD54DC8D30}"/>
    <cellStyle name="Normal" xfId="0" builtinId="0"/>
    <cellStyle name="Normal 2" xfId="1" xr:uid="{0606EEC2-5544-4F93-BC93-384291D27E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24.4</c:v>
                </c:pt>
                <c:pt idx="1">
                  <c:v>24.7</c:v>
                </c:pt>
                <c:pt idx="2">
                  <c:v>24.34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22.99</c:v>
                </c:pt>
                <c:pt idx="7">
                  <c:v>22.62</c:v>
                </c:pt>
                <c:pt idx="8">
                  <c:v>21.97</c:v>
                </c:pt>
                <c:pt idx="9">
                  <c:v>21.74</c:v>
                </c:pt>
                <c:pt idx="10">
                  <c:v>21.88</c:v>
                </c:pt>
                <c:pt idx="11">
                  <c:v>21.75</c:v>
                </c:pt>
                <c:pt idx="12">
                  <c:v>21.74</c:v>
                </c:pt>
                <c:pt idx="13">
                  <c:v>21.74</c:v>
                </c:pt>
                <c:pt idx="14">
                  <c:v>21.99</c:v>
                </c:pt>
                <c:pt idx="15">
                  <c:v>22.1</c:v>
                </c:pt>
                <c:pt idx="16">
                  <c:v>22.03</c:v>
                </c:pt>
                <c:pt idx="17">
                  <c:v>22.44</c:v>
                </c:pt>
                <c:pt idx="18">
                  <c:v>22.3</c:v>
                </c:pt>
                <c:pt idx="19">
                  <c:v>22.06</c:v>
                </c:pt>
                <c:pt idx="20">
                  <c:v>22.43</c:v>
                </c:pt>
                <c:pt idx="21">
                  <c:v>21.76</c:v>
                </c:pt>
                <c:pt idx="22">
                  <c:v>21.75</c:v>
                </c:pt>
                <c:pt idx="23">
                  <c:v>21.75</c:v>
                </c:pt>
                <c:pt idx="24">
                  <c:v>21.75</c:v>
                </c:pt>
                <c:pt idx="25">
                  <c:v>21.75</c:v>
                </c:pt>
                <c:pt idx="26">
                  <c:v>21.75</c:v>
                </c:pt>
                <c:pt idx="27">
                  <c:v>21.75</c:v>
                </c:pt>
                <c:pt idx="28">
                  <c:v>21.74</c:v>
                </c:pt>
                <c:pt idx="29">
                  <c:v>21.74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E-4F9B-B2D2-184B03B6AEB3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21.62</c:v>
                </c:pt>
                <c:pt idx="1">
                  <c:v>24.04</c:v>
                </c:pt>
                <c:pt idx="2">
                  <c:v>24.04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22.19</c:v>
                </c:pt>
                <c:pt idx="7">
                  <c:v>22.07</c:v>
                </c:pt>
                <c:pt idx="8">
                  <c:v>21.74</c:v>
                </c:pt>
                <c:pt idx="9">
                  <c:v>21.73</c:v>
                </c:pt>
                <c:pt idx="10">
                  <c:v>21.73</c:v>
                </c:pt>
                <c:pt idx="11">
                  <c:v>21.74</c:v>
                </c:pt>
                <c:pt idx="12">
                  <c:v>21.74</c:v>
                </c:pt>
                <c:pt idx="13">
                  <c:v>21.47</c:v>
                </c:pt>
                <c:pt idx="14">
                  <c:v>21.74</c:v>
                </c:pt>
                <c:pt idx="15">
                  <c:v>21.77</c:v>
                </c:pt>
                <c:pt idx="16">
                  <c:v>21.79</c:v>
                </c:pt>
                <c:pt idx="17">
                  <c:v>21.94</c:v>
                </c:pt>
                <c:pt idx="18">
                  <c:v>21.1</c:v>
                </c:pt>
                <c:pt idx="19">
                  <c:v>21.81</c:v>
                </c:pt>
                <c:pt idx="20">
                  <c:v>21.26</c:v>
                </c:pt>
                <c:pt idx="21">
                  <c:v>21.27</c:v>
                </c:pt>
                <c:pt idx="22">
                  <c:v>21.75</c:v>
                </c:pt>
                <c:pt idx="23">
                  <c:v>21.75</c:v>
                </c:pt>
                <c:pt idx="24">
                  <c:v>21.75</c:v>
                </c:pt>
                <c:pt idx="25">
                  <c:v>21.75</c:v>
                </c:pt>
                <c:pt idx="26">
                  <c:v>21.75</c:v>
                </c:pt>
                <c:pt idx="27">
                  <c:v>21.74</c:v>
                </c:pt>
                <c:pt idx="28">
                  <c:v>21.74</c:v>
                </c:pt>
                <c:pt idx="29">
                  <c:v>21.74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E-4F9B-B2D2-184B03B6A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260E93E-6E7F-424A-A4D1-8284D975EF86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29834BF-11B3-4728-987E-4FBD8129AE4E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3D301A4B-E706-41DE-A760-A05DC4393BC9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5EDFB0-A611-4DC7-9AEB-D47C507DD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3E7C4DB-477F-4A19-AF35-45F426C69E31}"/>
            </a:ext>
          </a:extLst>
        </xdr:cNvPr>
        <xdr:cNvSpPr txBox="1"/>
      </xdr:nvSpPr>
      <xdr:spPr>
        <a:xfrm rot="16200000">
          <a:off x="1203723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4EE28A-74CF-4C80-9D1A-A17DDD6EF22E}"/>
            </a:ext>
          </a:extLst>
        </xdr:cNvPr>
        <xdr:cNvSpPr txBox="1"/>
      </xdr:nvSpPr>
      <xdr:spPr>
        <a:xfrm>
          <a:off x="1604119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9.%20SEPTEMBER%202024.xlsx" TargetMode="External"/><Relationship Id="rId1" Type="http://schemas.openxmlformats.org/officeDocument/2006/relationships/externalLinkPath" Target="/My%20Drive/EFCOS%20FILES/1.%20Rainfall%20and%20Waterlevel%20Data%20Sheet/2024/9.%20SEPT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1"/>
      <sheetName val="SEP 2"/>
      <sheetName val="SEP 3"/>
      <sheetName val="SEP 4"/>
      <sheetName val="SEP 5"/>
      <sheetName val="SEP 6"/>
      <sheetName val="SEP 7"/>
      <sheetName val="SEP 8"/>
      <sheetName val="SEP 9"/>
      <sheetName val="SEP 10"/>
      <sheetName val="SEP 11"/>
      <sheetName val="SEP 12"/>
      <sheetName val="SEP 13"/>
      <sheetName val="SEP 14"/>
      <sheetName val="SEP 15"/>
      <sheetName val="SEP 16"/>
      <sheetName val="SEP 17"/>
      <sheetName val="Chart2"/>
      <sheetName val="Chart1"/>
      <sheetName val="SEP 18"/>
      <sheetName val="SEP 19"/>
      <sheetName val="SEP 20"/>
      <sheetName val="SEP 21"/>
      <sheetName val="SEP 22"/>
      <sheetName val="SEP 23"/>
      <sheetName val="SEP 24"/>
      <sheetName val="SEP 25"/>
      <sheetName val="SEP 26"/>
      <sheetName val="SEP 27"/>
      <sheetName val="SEP 28"/>
      <sheetName val="SEP 29"/>
      <sheetName val="SEP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>
            <v>21.62</v>
          </cell>
          <cell r="C31">
            <v>21.62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>
            <v>21.62</v>
          </cell>
          <cell r="I31">
            <v>21.62</v>
          </cell>
          <cell r="J31">
            <v>21.62</v>
          </cell>
          <cell r="K31">
            <v>21.62</v>
          </cell>
          <cell r="L31" t="str">
            <v>**</v>
          </cell>
          <cell r="M31" t="str">
            <v>**</v>
          </cell>
          <cell r="N31">
            <v>21.62</v>
          </cell>
          <cell r="O31">
            <v>21.62</v>
          </cell>
          <cell r="P31">
            <v>21.62</v>
          </cell>
          <cell r="Q31">
            <v>21.62</v>
          </cell>
          <cell r="R31">
            <v>21.62</v>
          </cell>
          <cell r="S31">
            <v>21.89</v>
          </cell>
          <cell r="T31">
            <v>21.93</v>
          </cell>
          <cell r="U31">
            <v>21.7</v>
          </cell>
          <cell r="V31">
            <v>21.7</v>
          </cell>
          <cell r="W31">
            <v>21.83</v>
          </cell>
          <cell r="X31" t="str">
            <v>**</v>
          </cell>
          <cell r="Y31">
            <v>24.4</v>
          </cell>
        </row>
      </sheetData>
      <sheetData sheetId="1">
        <row r="31">
          <cell r="B31">
            <v>24.7</v>
          </cell>
          <cell r="C31" t="str">
            <v>**</v>
          </cell>
          <cell r="D31" t="str">
            <v>**</v>
          </cell>
          <cell r="E31">
            <v>24.4</v>
          </cell>
          <cell r="F31" t="str">
            <v>**</v>
          </cell>
          <cell r="G31" t="str">
            <v>**</v>
          </cell>
          <cell r="H31" t="str">
            <v>**</v>
          </cell>
          <cell r="I31">
            <v>24.22</v>
          </cell>
          <cell r="J31">
            <v>24.2</v>
          </cell>
          <cell r="K31">
            <v>24.18</v>
          </cell>
          <cell r="L31">
            <v>24.14</v>
          </cell>
          <cell r="M31" t="str">
            <v>**</v>
          </cell>
          <cell r="N31">
            <v>24.04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2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>
            <v>24.28</v>
          </cell>
          <cell r="S31">
            <v>24.34</v>
          </cell>
          <cell r="T31" t="str">
            <v>**</v>
          </cell>
          <cell r="U31">
            <v>24.04</v>
          </cell>
          <cell r="V31">
            <v>24.1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3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4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5">
        <row r="31">
          <cell r="B31" t="str">
            <v>**</v>
          </cell>
          <cell r="C31" t="str">
            <v>**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 t="str">
            <v>**</v>
          </cell>
          <cell r="K31" t="str">
            <v>**</v>
          </cell>
          <cell r="L31" t="str">
            <v>**</v>
          </cell>
          <cell r="M31" t="str">
            <v>**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 t="str">
            <v>**</v>
          </cell>
          <cell r="U31" t="str">
            <v>**</v>
          </cell>
          <cell r="V31" t="str">
            <v>**</v>
          </cell>
          <cell r="W31" t="str">
            <v>**</v>
          </cell>
          <cell r="X31" t="str">
            <v>**</v>
          </cell>
          <cell r="Y31" t="str">
            <v>**</v>
          </cell>
        </row>
      </sheetData>
      <sheetData sheetId="6">
        <row r="31">
          <cell r="B31" t="str">
            <v>**</v>
          </cell>
          <cell r="C31">
            <v>22.99</v>
          </cell>
          <cell r="D31">
            <v>22.97</v>
          </cell>
          <cell r="E31">
            <v>22.96</v>
          </cell>
          <cell r="F31">
            <v>22.94</v>
          </cell>
          <cell r="G31">
            <v>22.92</v>
          </cell>
          <cell r="H31" t="str">
            <v>**</v>
          </cell>
          <cell r="I31" t="str">
            <v>**</v>
          </cell>
          <cell r="J31">
            <v>22.86</v>
          </cell>
          <cell r="K31">
            <v>22.83</v>
          </cell>
          <cell r="L31">
            <v>22.82</v>
          </cell>
          <cell r="M31">
            <v>22.8</v>
          </cell>
          <cell r="N31" t="str">
            <v>**</v>
          </cell>
          <cell r="O31">
            <v>22.76</v>
          </cell>
          <cell r="P31">
            <v>22.74</v>
          </cell>
          <cell r="Q31">
            <v>22.72</v>
          </cell>
          <cell r="R31">
            <v>22.21</v>
          </cell>
          <cell r="S31">
            <v>22.19</v>
          </cell>
          <cell r="T31">
            <v>22.67</v>
          </cell>
          <cell r="U31">
            <v>22.65</v>
          </cell>
          <cell r="V31">
            <v>22.63</v>
          </cell>
          <cell r="W31">
            <v>22.62</v>
          </cell>
          <cell r="X31">
            <v>22.6</v>
          </cell>
          <cell r="Y31">
            <v>22.58</v>
          </cell>
        </row>
      </sheetData>
      <sheetData sheetId="7">
        <row r="31">
          <cell r="B31" t="str">
            <v>**</v>
          </cell>
          <cell r="C31" t="str">
            <v>**</v>
          </cell>
          <cell r="D31">
            <v>22.62</v>
          </cell>
          <cell r="E31">
            <v>22.5</v>
          </cell>
          <cell r="F31">
            <v>22.48</v>
          </cell>
          <cell r="G31">
            <v>22.46</v>
          </cell>
          <cell r="H31">
            <v>22.24</v>
          </cell>
          <cell r="I31" t="str">
            <v>**</v>
          </cell>
          <cell r="J31" t="str">
            <v>**</v>
          </cell>
          <cell r="K31">
            <v>22.38</v>
          </cell>
          <cell r="L31">
            <v>22.35</v>
          </cell>
          <cell r="M31" t="str">
            <v>**</v>
          </cell>
          <cell r="N31">
            <v>22.31</v>
          </cell>
          <cell r="O31">
            <v>22.28</v>
          </cell>
          <cell r="P31">
            <v>22.26</v>
          </cell>
          <cell r="Q31">
            <v>22.23</v>
          </cell>
          <cell r="R31">
            <v>22.2</v>
          </cell>
          <cell r="S31">
            <v>22.17</v>
          </cell>
          <cell r="T31">
            <v>22.15</v>
          </cell>
          <cell r="U31">
            <v>22.12</v>
          </cell>
          <cell r="V31">
            <v>22.1</v>
          </cell>
          <cell r="W31">
            <v>22.07</v>
          </cell>
          <cell r="X31" t="str">
            <v>**</v>
          </cell>
          <cell r="Y31" t="str">
            <v>**</v>
          </cell>
        </row>
      </sheetData>
      <sheetData sheetId="8">
        <row r="31">
          <cell r="B31" t="str">
            <v>**</v>
          </cell>
          <cell r="C31">
            <v>21.97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>
            <v>21.85</v>
          </cell>
          <cell r="I31">
            <v>21.83</v>
          </cell>
          <cell r="J31">
            <v>21.81</v>
          </cell>
          <cell r="K31">
            <v>21.79</v>
          </cell>
          <cell r="L31">
            <v>21.77</v>
          </cell>
          <cell r="M31">
            <v>21.76</v>
          </cell>
          <cell r="N31">
            <v>21.75</v>
          </cell>
          <cell r="O31">
            <v>21.75</v>
          </cell>
          <cell r="P31">
            <v>21.75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9">
        <row r="31">
          <cell r="B31">
            <v>21.74</v>
          </cell>
          <cell r="C31">
            <v>21.74</v>
          </cell>
          <cell r="D31">
            <v>21.74</v>
          </cell>
          <cell r="E31" t="str">
            <v>**</v>
          </cell>
          <cell r="F31">
            <v>21.74</v>
          </cell>
          <cell r="G31">
            <v>21.74</v>
          </cell>
          <cell r="H31">
            <v>21.74</v>
          </cell>
          <cell r="I31">
            <v>21.73</v>
          </cell>
          <cell r="J31">
            <v>21.73</v>
          </cell>
          <cell r="K31" t="str">
            <v>**</v>
          </cell>
          <cell r="L31">
            <v>21.73</v>
          </cell>
          <cell r="M31">
            <v>21.73</v>
          </cell>
          <cell r="N31">
            <v>21.73</v>
          </cell>
          <cell r="O31">
            <v>21.73</v>
          </cell>
          <cell r="P31">
            <v>21.73</v>
          </cell>
          <cell r="Q31">
            <v>21.73</v>
          </cell>
          <cell r="R31">
            <v>21.73</v>
          </cell>
          <cell r="S31">
            <v>21.73</v>
          </cell>
          <cell r="T31">
            <v>21.73</v>
          </cell>
          <cell r="U31">
            <v>21.73</v>
          </cell>
          <cell r="V31">
            <v>21.73</v>
          </cell>
          <cell r="W31">
            <v>21.73</v>
          </cell>
          <cell r="X31">
            <v>21.73</v>
          </cell>
          <cell r="Y31">
            <v>21.73</v>
          </cell>
        </row>
      </sheetData>
      <sheetData sheetId="10">
        <row r="31">
          <cell r="B31">
            <v>21.73</v>
          </cell>
          <cell r="C31">
            <v>21.73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 t="str">
            <v>**</v>
          </cell>
          <cell r="I31" t="str">
            <v>**</v>
          </cell>
          <cell r="J31">
            <v>21.73</v>
          </cell>
          <cell r="K31">
            <v>21.73</v>
          </cell>
          <cell r="L31" t="str">
            <v>**</v>
          </cell>
          <cell r="M31">
            <v>21.88</v>
          </cell>
          <cell r="N31">
            <v>21.87</v>
          </cell>
          <cell r="O31">
            <v>21.8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 t="str">
            <v>**</v>
          </cell>
          <cell r="U31">
            <v>21.75</v>
          </cell>
          <cell r="V31">
            <v>21.75</v>
          </cell>
          <cell r="W31" t="str">
            <v>**</v>
          </cell>
          <cell r="X31">
            <v>21.75</v>
          </cell>
          <cell r="Y31">
            <v>21.75</v>
          </cell>
        </row>
      </sheetData>
      <sheetData sheetId="11">
        <row r="31">
          <cell r="B31" t="str">
            <v>**</v>
          </cell>
          <cell r="C31">
            <v>21.75</v>
          </cell>
          <cell r="D31">
            <v>21.75</v>
          </cell>
          <cell r="E31">
            <v>21.75</v>
          </cell>
          <cell r="F31">
            <v>21.75</v>
          </cell>
          <cell r="G31">
            <v>21.75</v>
          </cell>
          <cell r="H31">
            <v>21.75</v>
          </cell>
          <cell r="I31">
            <v>21.75</v>
          </cell>
          <cell r="J31" t="str">
            <v>**</v>
          </cell>
          <cell r="K31" t="str">
            <v>**</v>
          </cell>
          <cell r="L31" t="str">
            <v>**</v>
          </cell>
          <cell r="M31">
            <v>21.75</v>
          </cell>
          <cell r="N31" t="str">
            <v>**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>
            <v>21.75</v>
          </cell>
          <cell r="U31">
            <v>21.75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2">
        <row r="31">
          <cell r="B31" t="str">
            <v>**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 t="str">
            <v>**</v>
          </cell>
          <cell r="K31">
            <v>21.74</v>
          </cell>
          <cell r="L31">
            <v>21.74</v>
          </cell>
          <cell r="M31">
            <v>21.74</v>
          </cell>
          <cell r="N31" t="str">
            <v>**</v>
          </cell>
          <cell r="O31" t="str">
            <v>**</v>
          </cell>
          <cell r="P31" t="str">
            <v>**</v>
          </cell>
          <cell r="Q31" t="str">
            <v>**</v>
          </cell>
          <cell r="R31" t="str">
            <v>**</v>
          </cell>
          <cell r="S31">
            <v>21.74</v>
          </cell>
          <cell r="T31">
            <v>21.74</v>
          </cell>
          <cell r="U31" t="str">
            <v>**</v>
          </cell>
          <cell r="V31" t="str">
            <v>**</v>
          </cell>
          <cell r="W31" t="str">
            <v>**</v>
          </cell>
          <cell r="X31">
            <v>21.74</v>
          </cell>
          <cell r="Y31">
            <v>21.74</v>
          </cell>
        </row>
      </sheetData>
      <sheetData sheetId="13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 t="str">
            <v>**</v>
          </cell>
          <cell r="G31" t="str">
            <v>**</v>
          </cell>
          <cell r="H31">
            <v>21.47</v>
          </cell>
          <cell r="I31" t="str">
            <v>**</v>
          </cell>
          <cell r="J31">
            <v>21.74</v>
          </cell>
          <cell r="K31">
            <v>21.74</v>
          </cell>
          <cell r="L31" t="str">
            <v>**</v>
          </cell>
          <cell r="M31" t="str">
            <v>**</v>
          </cell>
          <cell r="N31">
            <v>21.74</v>
          </cell>
          <cell r="O31">
            <v>21.74</v>
          </cell>
          <cell r="P31">
            <v>21.74</v>
          </cell>
          <cell r="Q31" t="str">
            <v>**</v>
          </cell>
          <cell r="R31" t="str">
            <v>**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14">
        <row r="31">
          <cell r="B31">
            <v>21.74</v>
          </cell>
          <cell r="C31" t="str">
            <v>**</v>
          </cell>
          <cell r="D31">
            <v>21.74</v>
          </cell>
          <cell r="E31" t="str">
            <v>**</v>
          </cell>
          <cell r="F31">
            <v>21.74</v>
          </cell>
          <cell r="G31" t="str">
            <v>**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 t="str">
            <v>**</v>
          </cell>
          <cell r="Q31" t="str">
            <v>**</v>
          </cell>
          <cell r="R31" t="str">
            <v>**</v>
          </cell>
          <cell r="S31" t="str">
            <v>**</v>
          </cell>
          <cell r="T31">
            <v>21.99</v>
          </cell>
          <cell r="U31">
            <v>21.95</v>
          </cell>
          <cell r="V31">
            <v>21.93</v>
          </cell>
          <cell r="W31">
            <v>21.91</v>
          </cell>
          <cell r="X31">
            <v>21.89</v>
          </cell>
          <cell r="Y31">
            <v>21.87</v>
          </cell>
        </row>
      </sheetData>
      <sheetData sheetId="15">
        <row r="31">
          <cell r="B31">
            <v>21.86</v>
          </cell>
          <cell r="C31">
            <v>21.84</v>
          </cell>
          <cell r="D31">
            <v>21.83</v>
          </cell>
          <cell r="E31">
            <v>21.82</v>
          </cell>
          <cell r="F31">
            <v>21.81</v>
          </cell>
          <cell r="G31">
            <v>21.8</v>
          </cell>
          <cell r="H31">
            <v>21.79</v>
          </cell>
          <cell r="I31">
            <v>21.78</v>
          </cell>
          <cell r="J31">
            <v>21.77</v>
          </cell>
          <cell r="K31" t="str">
            <v>**</v>
          </cell>
          <cell r="L31">
            <v>21.85</v>
          </cell>
          <cell r="M31">
            <v>22.07</v>
          </cell>
          <cell r="N31">
            <v>22.1</v>
          </cell>
          <cell r="O31">
            <v>22.09</v>
          </cell>
          <cell r="P31">
            <v>22.07</v>
          </cell>
          <cell r="Q31">
            <v>22.04</v>
          </cell>
          <cell r="R31">
            <v>22.02</v>
          </cell>
          <cell r="S31">
            <v>22</v>
          </cell>
          <cell r="T31">
            <v>21.98</v>
          </cell>
          <cell r="U31">
            <v>21.97</v>
          </cell>
          <cell r="V31">
            <v>21.95</v>
          </cell>
          <cell r="W31">
            <v>21.94</v>
          </cell>
          <cell r="X31">
            <v>21.92</v>
          </cell>
          <cell r="Y31">
            <v>21.91</v>
          </cell>
        </row>
      </sheetData>
      <sheetData sheetId="16">
        <row r="31">
          <cell r="B31">
            <v>21.9</v>
          </cell>
          <cell r="C31">
            <v>21.88</v>
          </cell>
          <cell r="D31">
            <v>21.87</v>
          </cell>
          <cell r="E31">
            <v>21.86</v>
          </cell>
          <cell r="F31" t="str">
            <v>**</v>
          </cell>
          <cell r="G31" t="str">
            <v>**</v>
          </cell>
          <cell r="H31" t="str">
            <v>**</v>
          </cell>
          <cell r="I31">
            <v>21.82</v>
          </cell>
          <cell r="J31" t="str">
            <v>**</v>
          </cell>
          <cell r="K31">
            <v>21.79</v>
          </cell>
          <cell r="L31">
            <v>21.93</v>
          </cell>
          <cell r="M31">
            <v>21.96</v>
          </cell>
          <cell r="N31">
            <v>21.97</v>
          </cell>
          <cell r="O31">
            <v>21.99</v>
          </cell>
          <cell r="P31">
            <v>22.02</v>
          </cell>
          <cell r="Q31">
            <v>22.03</v>
          </cell>
          <cell r="R31">
            <v>22.03</v>
          </cell>
          <cell r="S31">
            <v>22.03</v>
          </cell>
          <cell r="T31">
            <v>22.03</v>
          </cell>
          <cell r="U31">
            <v>22.03</v>
          </cell>
          <cell r="V31">
            <v>22.03</v>
          </cell>
          <cell r="W31">
            <v>22.03</v>
          </cell>
          <cell r="X31">
            <v>22.02</v>
          </cell>
          <cell r="Y31">
            <v>22.02</v>
          </cell>
        </row>
      </sheetData>
      <sheetData sheetId="19">
        <row r="31">
          <cell r="B31">
            <v>22.01</v>
          </cell>
          <cell r="C31">
            <v>22.01</v>
          </cell>
          <cell r="D31">
            <v>22</v>
          </cell>
          <cell r="E31">
            <v>22</v>
          </cell>
          <cell r="F31">
            <v>22.01</v>
          </cell>
          <cell r="G31">
            <v>22.02</v>
          </cell>
          <cell r="H31">
            <v>22.02</v>
          </cell>
          <cell r="I31">
            <v>22.02</v>
          </cell>
          <cell r="J31">
            <v>22.02</v>
          </cell>
          <cell r="K31">
            <v>22.02</v>
          </cell>
          <cell r="L31">
            <v>22.01</v>
          </cell>
          <cell r="M31">
            <v>22</v>
          </cell>
          <cell r="N31">
            <v>21.99</v>
          </cell>
          <cell r="O31">
            <v>21.97</v>
          </cell>
          <cell r="P31">
            <v>21.96</v>
          </cell>
          <cell r="Q31">
            <v>21.95</v>
          </cell>
          <cell r="R31">
            <v>21.94</v>
          </cell>
          <cell r="S31">
            <v>22.24</v>
          </cell>
          <cell r="T31">
            <v>22.41</v>
          </cell>
          <cell r="U31">
            <v>22.44</v>
          </cell>
          <cell r="V31">
            <v>22.44</v>
          </cell>
          <cell r="W31">
            <v>22.4</v>
          </cell>
          <cell r="X31">
            <v>22.37</v>
          </cell>
          <cell r="Y31">
            <v>22.33</v>
          </cell>
        </row>
      </sheetData>
      <sheetData sheetId="20">
        <row r="31">
          <cell r="B31">
            <v>22.3</v>
          </cell>
          <cell r="C31">
            <v>22.28</v>
          </cell>
          <cell r="D31">
            <v>22.26</v>
          </cell>
          <cell r="E31">
            <v>22.24</v>
          </cell>
          <cell r="F31" t="str">
            <v>**</v>
          </cell>
          <cell r="G31">
            <v>22.21</v>
          </cell>
          <cell r="H31">
            <v>22.2</v>
          </cell>
          <cell r="I31">
            <v>22.19</v>
          </cell>
          <cell r="J31" t="str">
            <v>**</v>
          </cell>
          <cell r="K31">
            <v>22.18</v>
          </cell>
          <cell r="L31">
            <v>22.18</v>
          </cell>
          <cell r="M31">
            <v>22.18</v>
          </cell>
          <cell r="N31">
            <v>22.17</v>
          </cell>
          <cell r="O31">
            <v>22.17</v>
          </cell>
          <cell r="P31" t="str">
            <v>**</v>
          </cell>
          <cell r="Q31">
            <v>22.15</v>
          </cell>
          <cell r="R31" t="str">
            <v>**</v>
          </cell>
          <cell r="S31" t="str">
            <v>**</v>
          </cell>
          <cell r="T31">
            <v>22.12</v>
          </cell>
          <cell r="U31" t="str">
            <v>**</v>
          </cell>
          <cell r="V31">
            <v>21.1</v>
          </cell>
          <cell r="W31" t="str">
            <v>**</v>
          </cell>
          <cell r="X31">
            <v>22.08</v>
          </cell>
          <cell r="Y31">
            <v>22.07</v>
          </cell>
        </row>
      </sheetData>
      <sheetData sheetId="21">
        <row r="31">
          <cell r="B31">
            <v>22.06</v>
          </cell>
          <cell r="C31">
            <v>22.05</v>
          </cell>
          <cell r="D31" t="str">
            <v>**</v>
          </cell>
          <cell r="E31" t="str">
            <v>**</v>
          </cell>
          <cell r="F31">
            <v>22.02</v>
          </cell>
          <cell r="G31">
            <v>22</v>
          </cell>
          <cell r="H31">
            <v>21.99</v>
          </cell>
          <cell r="I31">
            <v>21.98</v>
          </cell>
          <cell r="J31">
            <v>21.97</v>
          </cell>
          <cell r="K31">
            <v>21.95</v>
          </cell>
          <cell r="L31">
            <v>21.94</v>
          </cell>
          <cell r="M31">
            <v>21.93</v>
          </cell>
          <cell r="N31">
            <v>21.92</v>
          </cell>
          <cell r="O31">
            <v>21.91</v>
          </cell>
          <cell r="P31">
            <v>21.9</v>
          </cell>
          <cell r="Q31">
            <v>21.89</v>
          </cell>
          <cell r="R31">
            <v>21.88</v>
          </cell>
          <cell r="S31">
            <v>21.87</v>
          </cell>
          <cell r="T31">
            <v>21.86</v>
          </cell>
          <cell r="U31">
            <v>21.81</v>
          </cell>
          <cell r="V31">
            <v>21.84</v>
          </cell>
          <cell r="W31">
            <v>21.84</v>
          </cell>
          <cell r="X31">
            <v>21.82</v>
          </cell>
          <cell r="Y31">
            <v>21.81</v>
          </cell>
        </row>
      </sheetData>
      <sheetData sheetId="22">
        <row r="31">
          <cell r="B31">
            <v>21.8</v>
          </cell>
          <cell r="C31">
            <v>21.79</v>
          </cell>
          <cell r="D31">
            <v>21.78</v>
          </cell>
          <cell r="E31">
            <v>21.77</v>
          </cell>
          <cell r="F31">
            <v>21.76</v>
          </cell>
          <cell r="G31">
            <v>21.76</v>
          </cell>
          <cell r="H31">
            <v>21.26</v>
          </cell>
          <cell r="I31">
            <v>22.43</v>
          </cell>
          <cell r="J31">
            <v>22.42</v>
          </cell>
          <cell r="K31">
            <v>22.36</v>
          </cell>
          <cell r="L31">
            <v>22.3</v>
          </cell>
          <cell r="M31">
            <v>22.23</v>
          </cell>
          <cell r="N31">
            <v>22.17</v>
          </cell>
          <cell r="O31">
            <v>22.11</v>
          </cell>
          <cell r="P31">
            <v>22.07</v>
          </cell>
          <cell r="Q31">
            <v>22.02</v>
          </cell>
          <cell r="R31">
            <v>21.98</v>
          </cell>
          <cell r="S31">
            <v>21.95</v>
          </cell>
          <cell r="T31">
            <v>21.91</v>
          </cell>
          <cell r="U31">
            <v>21.88</v>
          </cell>
          <cell r="V31">
            <v>21.86</v>
          </cell>
          <cell r="W31">
            <v>21.83</v>
          </cell>
          <cell r="X31">
            <v>21.81</v>
          </cell>
          <cell r="Y31">
            <v>21.79</v>
          </cell>
        </row>
      </sheetData>
      <sheetData sheetId="23">
        <row r="31">
          <cell r="B31">
            <v>21.27</v>
          </cell>
          <cell r="C31">
            <v>21.76</v>
          </cell>
          <cell r="D31">
            <v>21.75</v>
          </cell>
          <cell r="E31">
            <v>21.75</v>
          </cell>
          <cell r="F31">
            <v>21.75</v>
          </cell>
          <cell r="G31">
            <v>21.75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21.75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>
            <v>21.75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24">
        <row r="31">
          <cell r="B31">
            <v>21.75</v>
          </cell>
          <cell r="C31">
            <v>21.75</v>
          </cell>
          <cell r="D31">
            <v>21.75</v>
          </cell>
          <cell r="E31">
            <v>21.75</v>
          </cell>
          <cell r="F31">
            <v>21.75</v>
          </cell>
          <cell r="G31" t="str">
            <v>**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21.75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 t="str">
            <v>**</v>
          </cell>
          <cell r="T31">
            <v>21.75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25">
        <row r="31">
          <cell r="B31">
            <v>21.75</v>
          </cell>
          <cell r="C31">
            <v>21.75</v>
          </cell>
          <cell r="D31">
            <v>21.75</v>
          </cell>
          <cell r="E31" t="str">
            <v>**</v>
          </cell>
          <cell r="F31">
            <v>21.75</v>
          </cell>
          <cell r="G31">
            <v>21.75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21.75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>
            <v>21.75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26">
        <row r="31">
          <cell r="B31">
            <v>21.75</v>
          </cell>
          <cell r="C31">
            <v>21.75</v>
          </cell>
          <cell r="D31">
            <v>21.75</v>
          </cell>
          <cell r="E31">
            <v>21.75</v>
          </cell>
          <cell r="F31">
            <v>21.75</v>
          </cell>
          <cell r="G31">
            <v>21.75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21.75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>
            <v>21.75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27">
        <row r="31">
          <cell r="B31">
            <v>21.75</v>
          </cell>
          <cell r="C31">
            <v>21.75</v>
          </cell>
          <cell r="D31">
            <v>21.75</v>
          </cell>
          <cell r="E31">
            <v>21.75</v>
          </cell>
          <cell r="F31">
            <v>21.75</v>
          </cell>
          <cell r="G31">
            <v>21.75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21.75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>
            <v>21.75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28">
        <row r="31">
          <cell r="B31">
            <v>21.75</v>
          </cell>
          <cell r="C31">
            <v>21.75</v>
          </cell>
          <cell r="D31">
            <v>21.75</v>
          </cell>
          <cell r="E31">
            <v>21.75</v>
          </cell>
          <cell r="F31" t="str">
            <v>**</v>
          </cell>
          <cell r="G31">
            <v>21.75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21.75</v>
          </cell>
          <cell r="O31">
            <v>21.75</v>
          </cell>
          <cell r="P31">
            <v>21.75</v>
          </cell>
          <cell r="Q31">
            <v>21.75</v>
          </cell>
          <cell r="R31">
            <v>21.75</v>
          </cell>
          <cell r="S31">
            <v>21.75</v>
          </cell>
          <cell r="T31">
            <v>21.75</v>
          </cell>
          <cell r="U31">
            <v>21.75</v>
          </cell>
          <cell r="V31">
            <v>21.75</v>
          </cell>
          <cell r="W31">
            <v>21.75</v>
          </cell>
          <cell r="X31">
            <v>21.75</v>
          </cell>
          <cell r="Y31">
            <v>21.75</v>
          </cell>
        </row>
      </sheetData>
      <sheetData sheetId="29">
        <row r="31">
          <cell r="B31">
            <v>21.75</v>
          </cell>
          <cell r="C31">
            <v>21.75</v>
          </cell>
          <cell r="D31">
            <v>21.75</v>
          </cell>
          <cell r="E31">
            <v>21.75</v>
          </cell>
          <cell r="F31">
            <v>21.75</v>
          </cell>
          <cell r="G31" t="str">
            <v>**</v>
          </cell>
          <cell r="H31">
            <v>21.75</v>
          </cell>
          <cell r="I31">
            <v>21.75</v>
          </cell>
          <cell r="J31">
            <v>21.75</v>
          </cell>
          <cell r="K31">
            <v>21.75</v>
          </cell>
          <cell r="L31">
            <v>21.75</v>
          </cell>
          <cell r="M31">
            <v>21.75</v>
          </cell>
          <cell r="N31">
            <v>21.75</v>
          </cell>
          <cell r="O31">
            <v>21.75</v>
          </cell>
          <cell r="P31">
            <v>21.75</v>
          </cell>
          <cell r="Q31">
            <v>21.75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30">
        <row r="31">
          <cell r="B31">
            <v>21.74</v>
          </cell>
          <cell r="C31">
            <v>21.74</v>
          </cell>
          <cell r="D31">
            <v>21.74</v>
          </cell>
          <cell r="E31">
            <v>21.74</v>
          </cell>
          <cell r="F31">
            <v>21.74</v>
          </cell>
          <cell r="G31">
            <v>21.74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31">
        <row r="31">
          <cell r="B31">
            <v>21.74</v>
          </cell>
          <cell r="C31">
            <v>21.74</v>
          </cell>
          <cell r="D31" t="str">
            <v>**</v>
          </cell>
          <cell r="E31" t="str">
            <v>**</v>
          </cell>
          <cell r="F31" t="str">
            <v>**</v>
          </cell>
          <cell r="G31" t="str">
            <v>**</v>
          </cell>
          <cell r="H31">
            <v>21.74</v>
          </cell>
          <cell r="I31">
            <v>21.74</v>
          </cell>
          <cell r="J31">
            <v>21.74</v>
          </cell>
          <cell r="K31">
            <v>21.74</v>
          </cell>
          <cell r="L31">
            <v>21.74</v>
          </cell>
          <cell r="M31">
            <v>21.74</v>
          </cell>
          <cell r="N31">
            <v>21.74</v>
          </cell>
          <cell r="O31">
            <v>21.74</v>
          </cell>
          <cell r="P31">
            <v>21.74</v>
          </cell>
          <cell r="Q31">
            <v>21.74</v>
          </cell>
          <cell r="R31">
            <v>21.74</v>
          </cell>
          <cell r="S31">
            <v>21.74</v>
          </cell>
          <cell r="T31">
            <v>21.74</v>
          </cell>
          <cell r="U31">
            <v>21.74</v>
          </cell>
          <cell r="V31">
            <v>21.74</v>
          </cell>
          <cell r="W31">
            <v>21.74</v>
          </cell>
          <cell r="X31">
            <v>21.74</v>
          </cell>
          <cell r="Y31">
            <v>21.74</v>
          </cell>
        </row>
      </sheetData>
      <sheetData sheetId="32"/>
      <sheetData sheetId="33"/>
      <sheetData sheetId="34"/>
      <sheetData sheetId="35"/>
      <sheetData sheetId="36">
        <row r="6">
          <cell r="AB6">
            <v>24.4</v>
          </cell>
          <cell r="AC6">
            <v>21.62</v>
          </cell>
        </row>
        <row r="7">
          <cell r="AB7">
            <v>24.7</v>
          </cell>
          <cell r="AC7">
            <v>24.04</v>
          </cell>
        </row>
        <row r="8">
          <cell r="AB8">
            <v>24.34</v>
          </cell>
          <cell r="AC8">
            <v>24.04</v>
          </cell>
        </row>
        <row r="9">
          <cell r="AB9">
            <v>0</v>
          </cell>
          <cell r="AC9">
            <v>0</v>
          </cell>
        </row>
        <row r="10">
          <cell r="AB10">
            <v>0</v>
          </cell>
          <cell r="AC10">
            <v>0</v>
          </cell>
        </row>
        <row r="11">
          <cell r="AB11">
            <v>0</v>
          </cell>
          <cell r="AC11">
            <v>0</v>
          </cell>
        </row>
        <row r="12">
          <cell r="AB12">
            <v>22.99</v>
          </cell>
          <cell r="AC12">
            <v>22.19</v>
          </cell>
        </row>
        <row r="13">
          <cell r="AB13">
            <v>22.62</v>
          </cell>
          <cell r="AC13">
            <v>22.07</v>
          </cell>
        </row>
        <row r="14">
          <cell r="AB14">
            <v>21.97</v>
          </cell>
          <cell r="AC14">
            <v>21.74</v>
          </cell>
        </row>
        <row r="15">
          <cell r="AB15">
            <v>21.74</v>
          </cell>
          <cell r="AC15">
            <v>21.73</v>
          </cell>
        </row>
        <row r="16">
          <cell r="AB16">
            <v>21.88</v>
          </cell>
          <cell r="AC16">
            <v>21.73</v>
          </cell>
        </row>
        <row r="17">
          <cell r="AB17">
            <v>21.75</v>
          </cell>
          <cell r="AC17">
            <v>21.74</v>
          </cell>
        </row>
        <row r="18">
          <cell r="AB18">
            <v>21.74</v>
          </cell>
          <cell r="AC18">
            <v>21.74</v>
          </cell>
        </row>
        <row r="19">
          <cell r="AB19">
            <v>21.74</v>
          </cell>
          <cell r="AC19">
            <v>21.47</v>
          </cell>
        </row>
        <row r="20">
          <cell r="AB20">
            <v>21.99</v>
          </cell>
          <cell r="AC20">
            <v>21.74</v>
          </cell>
        </row>
        <row r="21">
          <cell r="AB21">
            <v>22.1</v>
          </cell>
          <cell r="AC21">
            <v>21.77</v>
          </cell>
        </row>
        <row r="22">
          <cell r="AB22">
            <v>22.03</v>
          </cell>
          <cell r="AC22">
            <v>21.79</v>
          </cell>
        </row>
        <row r="23">
          <cell r="AB23">
            <v>22.44</v>
          </cell>
          <cell r="AC23">
            <v>21.94</v>
          </cell>
        </row>
        <row r="24">
          <cell r="AB24">
            <v>22.3</v>
          </cell>
          <cell r="AC24">
            <v>21.1</v>
          </cell>
        </row>
        <row r="25">
          <cell r="AB25">
            <v>22.06</v>
          </cell>
          <cell r="AC25">
            <v>21.81</v>
          </cell>
        </row>
        <row r="26">
          <cell r="AB26">
            <v>22.43</v>
          </cell>
          <cell r="AC26">
            <v>21.26</v>
          </cell>
        </row>
        <row r="27">
          <cell r="AB27">
            <v>21.76</v>
          </cell>
          <cell r="AC27">
            <v>21.27</v>
          </cell>
        </row>
        <row r="28">
          <cell r="AB28">
            <v>21.75</v>
          </cell>
          <cell r="AC28">
            <v>21.75</v>
          </cell>
        </row>
        <row r="29">
          <cell r="AB29">
            <v>21.75</v>
          </cell>
          <cell r="AC29">
            <v>21.75</v>
          </cell>
        </row>
        <row r="30">
          <cell r="AB30">
            <v>21.75</v>
          </cell>
          <cell r="AC30">
            <v>21.75</v>
          </cell>
        </row>
        <row r="31">
          <cell r="AB31">
            <v>21.75</v>
          </cell>
          <cell r="AC31">
            <v>21.75</v>
          </cell>
        </row>
        <row r="32">
          <cell r="AB32">
            <v>21.75</v>
          </cell>
          <cell r="AC32">
            <v>21.75</v>
          </cell>
        </row>
        <row r="33">
          <cell r="AB33">
            <v>21.75</v>
          </cell>
          <cell r="AC33">
            <v>21.74</v>
          </cell>
        </row>
        <row r="34">
          <cell r="AB34">
            <v>21.74</v>
          </cell>
          <cell r="AC34">
            <v>21.74</v>
          </cell>
        </row>
        <row r="35">
          <cell r="AB35">
            <v>21.74</v>
          </cell>
          <cell r="AC35">
            <v>21.74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9C3E-C44D-4ED7-BB92-466E448E3B0D}">
  <dimension ref="A1:AP38"/>
  <sheetViews>
    <sheetView tabSelected="1" zoomScale="85" zoomScaleNormal="85" zoomScaleSheetLayoutView="85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AC24" sqref="AC24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'[1]SEP 1'!B31</f>
        <v>21.62</v>
      </c>
      <c r="C6" s="24">
        <f>'[1]SEP 1'!C31</f>
        <v>21.62</v>
      </c>
      <c r="D6" s="24" t="str">
        <f>'[1]SEP 1'!D31</f>
        <v>**</v>
      </c>
      <c r="E6" s="24" t="str">
        <f>'[1]SEP 1'!E31</f>
        <v>**</v>
      </c>
      <c r="F6" s="24" t="str">
        <f>'[1]SEP 1'!F31</f>
        <v>**</v>
      </c>
      <c r="G6" s="24" t="str">
        <f>'[1]SEP 1'!G31</f>
        <v>**</v>
      </c>
      <c r="H6" s="24">
        <f>'[1]SEP 1'!H31</f>
        <v>21.62</v>
      </c>
      <c r="I6" s="24">
        <f>'[1]SEP 1'!I31</f>
        <v>21.62</v>
      </c>
      <c r="J6" s="24">
        <f>'[1]SEP 1'!J31</f>
        <v>21.62</v>
      </c>
      <c r="K6" s="24">
        <f>'[1]SEP 1'!K31</f>
        <v>21.62</v>
      </c>
      <c r="L6" s="24" t="str">
        <f>'[1]SEP 1'!L31</f>
        <v>**</v>
      </c>
      <c r="M6" s="24" t="str">
        <f>'[1]SEP 1'!M31</f>
        <v>**</v>
      </c>
      <c r="N6" s="24">
        <f>'[1]SEP 1'!N31</f>
        <v>21.62</v>
      </c>
      <c r="O6" s="24">
        <f>'[1]SEP 1'!O31</f>
        <v>21.62</v>
      </c>
      <c r="P6" s="24">
        <f>'[1]SEP 1'!P31</f>
        <v>21.62</v>
      </c>
      <c r="Q6" s="24">
        <f>'[1]SEP 1'!Q31</f>
        <v>21.62</v>
      </c>
      <c r="R6" s="24">
        <f>'[1]SEP 1'!R31</f>
        <v>21.62</v>
      </c>
      <c r="S6" s="24">
        <f>'[1]SEP 1'!S31</f>
        <v>21.89</v>
      </c>
      <c r="T6" s="24">
        <f>'[1]SEP 1'!T31</f>
        <v>21.93</v>
      </c>
      <c r="U6" s="24">
        <f>'[1]SEP 1'!U31</f>
        <v>21.7</v>
      </c>
      <c r="V6" s="24">
        <f>'[1]SEP 1'!V31</f>
        <v>21.7</v>
      </c>
      <c r="W6" s="24">
        <f>'[1]SEP 1'!W31</f>
        <v>21.83</v>
      </c>
      <c r="X6" s="24" t="str">
        <f>'[1]SEP 1'!X31</f>
        <v>**</v>
      </c>
      <c r="Y6" s="24">
        <f>'[1]SEP 1'!Y31</f>
        <v>24.4</v>
      </c>
      <c r="Z6" s="25">
        <f>AVERAGE(B6:Y6)</f>
        <v>21.839411764705883</v>
      </c>
      <c r="AA6" s="26">
        <v>1</v>
      </c>
      <c r="AB6" s="27">
        <f>MAX(B6:Y6)</f>
        <v>24.4</v>
      </c>
      <c r="AC6" s="27">
        <f>MIN(B6:Y6)</f>
        <v>21.62</v>
      </c>
    </row>
    <row r="7" spans="1:42" ht="14.25" customHeight="1" x14ac:dyDescent="0.3">
      <c r="A7" s="23">
        <v>2</v>
      </c>
      <c r="B7" s="28">
        <f>'[1]SEP 2'!B31</f>
        <v>24.7</v>
      </c>
      <c r="C7" s="28" t="str">
        <f>'[1]SEP 2'!C31</f>
        <v>**</v>
      </c>
      <c r="D7" s="28" t="str">
        <f>'[1]SEP 2'!D31</f>
        <v>**</v>
      </c>
      <c r="E7" s="28">
        <f>'[1]SEP 2'!E31</f>
        <v>24.4</v>
      </c>
      <c r="F7" s="28" t="str">
        <f>'[1]SEP 2'!F31</f>
        <v>**</v>
      </c>
      <c r="G7" s="28" t="str">
        <f>'[1]SEP 2'!G31</f>
        <v>**</v>
      </c>
      <c r="H7" s="28" t="str">
        <f>'[1]SEP 2'!H31</f>
        <v>**</v>
      </c>
      <c r="I7" s="28">
        <f>'[1]SEP 2'!I31</f>
        <v>24.22</v>
      </c>
      <c r="J7" s="28">
        <f>'[1]SEP 2'!J31</f>
        <v>24.2</v>
      </c>
      <c r="K7" s="28">
        <f>'[1]SEP 2'!K31</f>
        <v>24.18</v>
      </c>
      <c r="L7" s="28">
        <f>'[1]SEP 2'!L31</f>
        <v>24.14</v>
      </c>
      <c r="M7" s="28" t="str">
        <f>'[1]SEP 2'!M31</f>
        <v>**</v>
      </c>
      <c r="N7" s="28">
        <f>'[1]SEP 2'!N31</f>
        <v>24.04</v>
      </c>
      <c r="O7" s="28" t="str">
        <f>'[1]SEP 2'!O31</f>
        <v>**</v>
      </c>
      <c r="P7" s="28" t="str">
        <f>'[1]SEP 2'!P31</f>
        <v>**</v>
      </c>
      <c r="Q7" s="28" t="str">
        <f>'[1]SEP 2'!Q31</f>
        <v>**</v>
      </c>
      <c r="R7" s="28" t="str">
        <f>'[1]SEP 2'!R31</f>
        <v>**</v>
      </c>
      <c r="S7" s="28" t="str">
        <f>'[1]SEP 2'!S31</f>
        <v>**</v>
      </c>
      <c r="T7" s="28" t="str">
        <f>'[1]SEP 2'!T31</f>
        <v>**</v>
      </c>
      <c r="U7" s="28" t="str">
        <f>'[1]SEP 2'!U31</f>
        <v>**</v>
      </c>
      <c r="V7" s="28" t="str">
        <f>'[1]SEP 2'!V31</f>
        <v>**</v>
      </c>
      <c r="W7" s="28" t="str">
        <f>'[1]SEP 2'!W31</f>
        <v>**</v>
      </c>
      <c r="X7" s="28" t="str">
        <f>'[1]SEP 2'!X31</f>
        <v>**</v>
      </c>
      <c r="Y7" s="28" t="str">
        <f>'[1]SEP 2'!Y31</f>
        <v>**</v>
      </c>
      <c r="Z7" s="25">
        <f t="shared" ref="Z7:Z35" si="0">AVERAGE(B7:Y7)</f>
        <v>24.268571428571423</v>
      </c>
      <c r="AA7" s="26">
        <v>2</v>
      </c>
      <c r="AB7" s="27">
        <f t="shared" ref="AB7:AB35" si="1">MAX(B7:Y7)</f>
        <v>24.7</v>
      </c>
      <c r="AC7" s="27">
        <f t="shared" ref="AC7:AC34" si="2">MIN(B7:Y7)</f>
        <v>24.04</v>
      </c>
    </row>
    <row r="8" spans="1:42" ht="14.25" customHeight="1" x14ac:dyDescent="0.3">
      <c r="A8" s="23">
        <v>3</v>
      </c>
      <c r="B8" s="28" t="str">
        <f>'[1]SEP 3'!B31</f>
        <v>**</v>
      </c>
      <c r="C8" s="28" t="str">
        <f>'[1]SEP 3'!C31</f>
        <v>**</v>
      </c>
      <c r="D8" s="28" t="str">
        <f>'[1]SEP 3'!D31</f>
        <v>**</v>
      </c>
      <c r="E8" s="28" t="str">
        <f>'[1]SEP 3'!E31</f>
        <v>**</v>
      </c>
      <c r="F8" s="28" t="str">
        <f>'[1]SEP 3'!F31</f>
        <v>**</v>
      </c>
      <c r="G8" s="28" t="str">
        <f>'[1]SEP 3'!G31</f>
        <v>**</v>
      </c>
      <c r="H8" s="28" t="str">
        <f>'[1]SEP 3'!H31</f>
        <v>**</v>
      </c>
      <c r="I8" s="28" t="str">
        <f>'[1]SEP 3'!I31</f>
        <v>**</v>
      </c>
      <c r="J8" s="28" t="str">
        <f>'[1]SEP 3'!J31</f>
        <v>**</v>
      </c>
      <c r="K8" s="28" t="str">
        <f>'[1]SEP 3'!K31</f>
        <v>**</v>
      </c>
      <c r="L8" s="28" t="str">
        <f>'[1]SEP 3'!L31</f>
        <v>**</v>
      </c>
      <c r="M8" s="28" t="str">
        <f>'[1]SEP 3'!M31</f>
        <v>**</v>
      </c>
      <c r="N8" s="28" t="str">
        <f>'[1]SEP 3'!N31</f>
        <v>**</v>
      </c>
      <c r="O8" s="28" t="str">
        <f>'[1]SEP 3'!O31</f>
        <v>**</v>
      </c>
      <c r="P8" s="28" t="str">
        <f>'[1]SEP 3'!P31</f>
        <v>**</v>
      </c>
      <c r="Q8" s="28" t="str">
        <f>'[1]SEP 3'!Q31</f>
        <v>**</v>
      </c>
      <c r="R8" s="28">
        <f>'[1]SEP 3'!R31</f>
        <v>24.28</v>
      </c>
      <c r="S8" s="28">
        <f>'[1]SEP 3'!S31</f>
        <v>24.34</v>
      </c>
      <c r="T8" s="28" t="str">
        <f>'[1]SEP 3'!T31</f>
        <v>**</v>
      </c>
      <c r="U8" s="28">
        <f>'[1]SEP 3'!U31</f>
        <v>24.04</v>
      </c>
      <c r="V8" s="28">
        <f>'[1]SEP 3'!V31</f>
        <v>24.1</v>
      </c>
      <c r="W8" s="28" t="str">
        <f>'[1]SEP 3'!W31</f>
        <v>**</v>
      </c>
      <c r="X8" s="28" t="str">
        <f>'[1]SEP 3'!X31</f>
        <v>**</v>
      </c>
      <c r="Y8" s="28" t="str">
        <f>'[1]SEP 3'!Y31</f>
        <v>**</v>
      </c>
      <c r="Z8" s="29">
        <f t="shared" si="0"/>
        <v>24.189999999999998</v>
      </c>
      <c r="AA8" s="26">
        <v>3</v>
      </c>
      <c r="AB8" s="30">
        <f t="shared" si="1"/>
        <v>24.34</v>
      </c>
      <c r="AC8" s="30">
        <f t="shared" si="2"/>
        <v>24.04</v>
      </c>
    </row>
    <row r="9" spans="1:42" ht="14.25" customHeight="1" x14ac:dyDescent="0.3">
      <c r="A9" s="23">
        <v>4</v>
      </c>
      <c r="B9" s="28" t="str">
        <f>'[1]SEP 4'!B31</f>
        <v>**</v>
      </c>
      <c r="C9" s="28" t="str">
        <f>'[1]SEP 4'!C31</f>
        <v>**</v>
      </c>
      <c r="D9" s="28" t="str">
        <f>'[1]SEP 4'!D31</f>
        <v>**</v>
      </c>
      <c r="E9" s="28" t="str">
        <f>'[1]SEP 4'!E31</f>
        <v>**</v>
      </c>
      <c r="F9" s="28" t="str">
        <f>'[1]SEP 4'!F31</f>
        <v>**</v>
      </c>
      <c r="G9" s="28" t="str">
        <f>'[1]SEP 4'!G31</f>
        <v>**</v>
      </c>
      <c r="H9" s="28" t="str">
        <f>'[1]SEP 4'!H31</f>
        <v>**</v>
      </c>
      <c r="I9" s="28" t="str">
        <f>'[1]SEP 4'!I31</f>
        <v>**</v>
      </c>
      <c r="J9" s="28" t="str">
        <f>'[1]SEP 4'!J31</f>
        <v>**</v>
      </c>
      <c r="K9" s="28" t="str">
        <f>'[1]SEP 4'!K31</f>
        <v>**</v>
      </c>
      <c r="L9" s="28" t="str">
        <f>'[1]SEP 4'!L31</f>
        <v>**</v>
      </c>
      <c r="M9" s="28" t="str">
        <f>'[1]SEP 4'!M31</f>
        <v>**</v>
      </c>
      <c r="N9" s="28" t="str">
        <f>'[1]SEP 4'!N31</f>
        <v>**</v>
      </c>
      <c r="O9" s="28" t="str">
        <f>'[1]SEP 4'!O31</f>
        <v>**</v>
      </c>
      <c r="P9" s="28" t="str">
        <f>'[1]SEP 4'!P31</f>
        <v>**</v>
      </c>
      <c r="Q9" s="28" t="str">
        <f>'[1]SEP 4'!Q31</f>
        <v>**</v>
      </c>
      <c r="R9" s="28" t="str">
        <f>'[1]SEP 4'!R31</f>
        <v>**</v>
      </c>
      <c r="S9" s="28" t="str">
        <f>'[1]SEP 4'!S31</f>
        <v>**</v>
      </c>
      <c r="T9" s="28" t="str">
        <f>'[1]SEP 4'!T31</f>
        <v>**</v>
      </c>
      <c r="U9" s="28" t="str">
        <f>'[1]SEP 4'!U31</f>
        <v>**</v>
      </c>
      <c r="V9" s="28" t="str">
        <f>'[1]SEP 4'!V31</f>
        <v>**</v>
      </c>
      <c r="W9" s="28" t="str">
        <f>'[1]SEP 4'!W31</f>
        <v>**</v>
      </c>
      <c r="X9" s="28" t="str">
        <f>'[1]SEP 4'!X31</f>
        <v>**</v>
      </c>
      <c r="Y9" s="28" t="str">
        <f>'[1]SEP 4'!Y31</f>
        <v>**</v>
      </c>
      <c r="Z9" s="29" t="e">
        <f t="shared" si="0"/>
        <v>#DIV/0!</v>
      </c>
      <c r="AA9" s="26">
        <v>4</v>
      </c>
      <c r="AB9" s="27">
        <f t="shared" si="1"/>
        <v>0</v>
      </c>
      <c r="AC9" s="27">
        <f t="shared" si="2"/>
        <v>0</v>
      </c>
    </row>
    <row r="10" spans="1:42" ht="14.25" customHeight="1" x14ac:dyDescent="0.3">
      <c r="A10" s="23">
        <v>5</v>
      </c>
      <c r="B10" s="28" t="str">
        <f>'[1]SEP 5'!B31</f>
        <v>**</v>
      </c>
      <c r="C10" s="28" t="str">
        <f>'[1]SEP 5'!C31</f>
        <v>**</v>
      </c>
      <c r="D10" s="28" t="str">
        <f>'[1]SEP 5'!D31</f>
        <v>**</v>
      </c>
      <c r="E10" s="28" t="str">
        <f>'[1]SEP 5'!E31</f>
        <v>**</v>
      </c>
      <c r="F10" s="28" t="str">
        <f>'[1]SEP 5'!F31</f>
        <v>**</v>
      </c>
      <c r="G10" s="28" t="str">
        <f>'[1]SEP 5'!G31</f>
        <v>**</v>
      </c>
      <c r="H10" s="28" t="str">
        <f>'[1]SEP 5'!H31</f>
        <v>**</v>
      </c>
      <c r="I10" s="28" t="str">
        <f>'[1]SEP 5'!I31</f>
        <v>**</v>
      </c>
      <c r="J10" s="28" t="str">
        <f>'[1]SEP 5'!J31</f>
        <v>**</v>
      </c>
      <c r="K10" s="28" t="str">
        <f>'[1]SEP 5'!K31</f>
        <v>**</v>
      </c>
      <c r="L10" s="28" t="str">
        <f>'[1]SEP 5'!L31</f>
        <v>**</v>
      </c>
      <c r="M10" s="28" t="str">
        <f>'[1]SEP 5'!M31</f>
        <v>**</v>
      </c>
      <c r="N10" s="28" t="str">
        <f>'[1]SEP 5'!N31</f>
        <v>**</v>
      </c>
      <c r="O10" s="28" t="str">
        <f>'[1]SEP 5'!O31</f>
        <v>**</v>
      </c>
      <c r="P10" s="28" t="str">
        <f>'[1]SEP 5'!P31</f>
        <v>**</v>
      </c>
      <c r="Q10" s="28" t="str">
        <f>'[1]SEP 5'!Q31</f>
        <v>**</v>
      </c>
      <c r="R10" s="28" t="str">
        <f>'[1]SEP 5'!R31</f>
        <v>**</v>
      </c>
      <c r="S10" s="28" t="str">
        <f>'[1]SEP 5'!S31</f>
        <v>**</v>
      </c>
      <c r="T10" s="28" t="str">
        <f>'[1]SEP 5'!T31</f>
        <v>**</v>
      </c>
      <c r="U10" s="28" t="str">
        <f>'[1]SEP 5'!U31</f>
        <v>**</v>
      </c>
      <c r="V10" s="28" t="str">
        <f>'[1]SEP 5'!V31</f>
        <v>**</v>
      </c>
      <c r="W10" s="28" t="str">
        <f>'[1]SEP 5'!W31</f>
        <v>**</v>
      </c>
      <c r="X10" s="28" t="str">
        <f>'[1]SEP 5'!X31</f>
        <v>**</v>
      </c>
      <c r="Y10" s="28" t="str">
        <f>'[1]SEP 5'!Y31</f>
        <v>**</v>
      </c>
      <c r="Z10" s="29" t="e">
        <f t="shared" si="0"/>
        <v>#DIV/0!</v>
      </c>
      <c r="AA10" s="26">
        <v>5</v>
      </c>
      <c r="AB10" s="27">
        <f t="shared" si="1"/>
        <v>0</v>
      </c>
      <c r="AC10" s="27">
        <f t="shared" si="2"/>
        <v>0</v>
      </c>
    </row>
    <row r="11" spans="1:42" ht="14.25" customHeight="1" x14ac:dyDescent="0.3">
      <c r="A11" s="23">
        <v>6</v>
      </c>
      <c r="B11" s="28" t="str">
        <f>'[1]SEP 6'!B31</f>
        <v>**</v>
      </c>
      <c r="C11" s="28" t="str">
        <f>'[1]SEP 6'!C31</f>
        <v>**</v>
      </c>
      <c r="D11" s="28" t="str">
        <f>'[1]SEP 6'!D31</f>
        <v>**</v>
      </c>
      <c r="E11" s="28" t="str">
        <f>'[1]SEP 6'!E31</f>
        <v>**</v>
      </c>
      <c r="F11" s="28" t="str">
        <f>'[1]SEP 6'!F31</f>
        <v>**</v>
      </c>
      <c r="G11" s="28" t="str">
        <f>'[1]SEP 6'!G31</f>
        <v>**</v>
      </c>
      <c r="H11" s="28" t="str">
        <f>'[1]SEP 6'!H31</f>
        <v>**</v>
      </c>
      <c r="I11" s="28" t="str">
        <f>'[1]SEP 6'!I31</f>
        <v>**</v>
      </c>
      <c r="J11" s="28" t="str">
        <f>'[1]SEP 6'!J31</f>
        <v>**</v>
      </c>
      <c r="K11" s="28" t="str">
        <f>'[1]SEP 6'!K31</f>
        <v>**</v>
      </c>
      <c r="L11" s="28" t="str">
        <f>'[1]SEP 6'!L31</f>
        <v>**</v>
      </c>
      <c r="M11" s="28" t="str">
        <f>'[1]SEP 6'!M31</f>
        <v>**</v>
      </c>
      <c r="N11" s="28" t="str">
        <f>'[1]SEP 6'!N31</f>
        <v>**</v>
      </c>
      <c r="O11" s="28" t="str">
        <f>'[1]SEP 6'!O31</f>
        <v>**</v>
      </c>
      <c r="P11" s="28" t="str">
        <f>'[1]SEP 6'!P31</f>
        <v>**</v>
      </c>
      <c r="Q11" s="28" t="str">
        <f>'[1]SEP 6'!Q31</f>
        <v>**</v>
      </c>
      <c r="R11" s="28" t="str">
        <f>'[1]SEP 6'!R31</f>
        <v>**</v>
      </c>
      <c r="S11" s="28" t="str">
        <f>'[1]SEP 6'!S31</f>
        <v>**</v>
      </c>
      <c r="T11" s="28" t="str">
        <f>'[1]SEP 6'!T31</f>
        <v>**</v>
      </c>
      <c r="U11" s="28" t="str">
        <f>'[1]SEP 6'!U31</f>
        <v>**</v>
      </c>
      <c r="V11" s="28" t="str">
        <f>'[1]SEP 6'!V31</f>
        <v>**</v>
      </c>
      <c r="W11" s="28" t="str">
        <f>'[1]SEP 6'!W31</f>
        <v>**</v>
      </c>
      <c r="X11" s="28" t="str">
        <f>'[1]SEP 6'!X31</f>
        <v>**</v>
      </c>
      <c r="Y11" s="28" t="str">
        <f>'[1]SEP 6'!Y31</f>
        <v>**</v>
      </c>
      <c r="Z11" s="25" t="e">
        <f t="shared" si="0"/>
        <v>#DIV/0!</v>
      </c>
      <c r="AA11" s="26">
        <v>6</v>
      </c>
      <c r="AB11" s="27">
        <f>MAX(B11:Y11)</f>
        <v>0</v>
      </c>
      <c r="AC11" s="27">
        <f>MIN(B11:Y11)</f>
        <v>0</v>
      </c>
    </row>
    <row r="12" spans="1:42" ht="14.25" customHeight="1" x14ac:dyDescent="0.3">
      <c r="A12" s="23">
        <v>7</v>
      </c>
      <c r="B12" s="28" t="str">
        <f>'[1]SEP 7'!B31</f>
        <v>**</v>
      </c>
      <c r="C12" s="28">
        <f>'[1]SEP 7'!C31</f>
        <v>22.99</v>
      </c>
      <c r="D12" s="28">
        <f>'[1]SEP 7'!D31</f>
        <v>22.97</v>
      </c>
      <c r="E12" s="28">
        <f>'[1]SEP 7'!E31</f>
        <v>22.96</v>
      </c>
      <c r="F12" s="28">
        <f>'[1]SEP 7'!F31</f>
        <v>22.94</v>
      </c>
      <c r="G12" s="28">
        <f>'[1]SEP 7'!G31</f>
        <v>22.92</v>
      </c>
      <c r="H12" s="28" t="str">
        <f>'[1]SEP 7'!H31</f>
        <v>**</v>
      </c>
      <c r="I12" s="28" t="str">
        <f>'[1]SEP 7'!I31</f>
        <v>**</v>
      </c>
      <c r="J12" s="28">
        <f>'[1]SEP 7'!J31</f>
        <v>22.86</v>
      </c>
      <c r="K12" s="28">
        <f>'[1]SEP 7'!K31</f>
        <v>22.83</v>
      </c>
      <c r="L12" s="28">
        <f>'[1]SEP 7'!L31</f>
        <v>22.82</v>
      </c>
      <c r="M12" s="28">
        <f>'[1]SEP 7'!M31</f>
        <v>22.8</v>
      </c>
      <c r="N12" s="28" t="str">
        <f>'[1]SEP 7'!N31</f>
        <v>**</v>
      </c>
      <c r="O12" s="28">
        <f>'[1]SEP 7'!O31</f>
        <v>22.76</v>
      </c>
      <c r="P12" s="28">
        <f>'[1]SEP 7'!P31</f>
        <v>22.74</v>
      </c>
      <c r="Q12" s="28">
        <f>'[1]SEP 7'!Q31</f>
        <v>22.72</v>
      </c>
      <c r="R12" s="28">
        <f>'[1]SEP 7'!R31</f>
        <v>22.21</v>
      </c>
      <c r="S12" s="28">
        <f>'[1]SEP 7'!S31</f>
        <v>22.19</v>
      </c>
      <c r="T12" s="28">
        <f>'[1]SEP 7'!T31</f>
        <v>22.67</v>
      </c>
      <c r="U12" s="28">
        <f>'[1]SEP 7'!U31</f>
        <v>22.65</v>
      </c>
      <c r="V12" s="28">
        <f>'[1]SEP 7'!V31</f>
        <v>22.63</v>
      </c>
      <c r="W12" s="28">
        <f>'[1]SEP 7'!W31</f>
        <v>22.62</v>
      </c>
      <c r="X12" s="28">
        <f>'[1]SEP 7'!X31</f>
        <v>22.6</v>
      </c>
      <c r="Y12" s="28">
        <f>'[1]SEP 7'!Y31</f>
        <v>22.58</v>
      </c>
      <c r="Z12" s="25">
        <f t="shared" si="0"/>
        <v>22.722999999999995</v>
      </c>
      <c r="AA12" s="26">
        <v>7</v>
      </c>
      <c r="AB12" s="27">
        <f t="shared" si="1"/>
        <v>22.99</v>
      </c>
      <c r="AC12" s="27">
        <f t="shared" si="2"/>
        <v>22.19</v>
      </c>
    </row>
    <row r="13" spans="1:42" ht="14.25" customHeight="1" x14ac:dyDescent="0.3">
      <c r="A13" s="23">
        <v>8</v>
      </c>
      <c r="B13" s="28" t="str">
        <f>'[1]SEP 8'!B31</f>
        <v>**</v>
      </c>
      <c r="C13" s="28" t="str">
        <f>'[1]SEP 8'!C31</f>
        <v>**</v>
      </c>
      <c r="D13" s="28">
        <f>'[1]SEP 8'!D31</f>
        <v>22.62</v>
      </c>
      <c r="E13" s="28">
        <f>'[1]SEP 8'!E31</f>
        <v>22.5</v>
      </c>
      <c r="F13" s="28">
        <f>'[1]SEP 8'!F31</f>
        <v>22.48</v>
      </c>
      <c r="G13" s="28">
        <f>'[1]SEP 8'!G31</f>
        <v>22.46</v>
      </c>
      <c r="H13" s="28">
        <f>'[1]SEP 8'!H31</f>
        <v>22.24</v>
      </c>
      <c r="I13" s="28" t="str">
        <f>'[1]SEP 8'!I31</f>
        <v>**</v>
      </c>
      <c r="J13" s="28" t="str">
        <f>'[1]SEP 8'!J31</f>
        <v>**</v>
      </c>
      <c r="K13" s="28">
        <f>'[1]SEP 8'!K31</f>
        <v>22.38</v>
      </c>
      <c r="L13" s="28">
        <f>'[1]SEP 8'!L31</f>
        <v>22.35</v>
      </c>
      <c r="M13" s="28" t="str">
        <f>'[1]SEP 8'!M31</f>
        <v>**</v>
      </c>
      <c r="N13" s="28">
        <f>'[1]SEP 8'!N31</f>
        <v>22.31</v>
      </c>
      <c r="O13" s="28">
        <f>'[1]SEP 8'!O31</f>
        <v>22.28</v>
      </c>
      <c r="P13" s="28">
        <f>'[1]SEP 8'!P31</f>
        <v>22.26</v>
      </c>
      <c r="Q13" s="28">
        <f>'[1]SEP 8'!Q31</f>
        <v>22.23</v>
      </c>
      <c r="R13" s="28">
        <f>'[1]SEP 8'!R31</f>
        <v>22.2</v>
      </c>
      <c r="S13" s="28">
        <f>'[1]SEP 8'!S31</f>
        <v>22.17</v>
      </c>
      <c r="T13" s="28">
        <f>'[1]SEP 8'!T31</f>
        <v>22.15</v>
      </c>
      <c r="U13" s="28">
        <f>'[1]SEP 8'!U31</f>
        <v>22.12</v>
      </c>
      <c r="V13" s="28">
        <f>'[1]SEP 8'!V31</f>
        <v>22.1</v>
      </c>
      <c r="W13" s="28">
        <f>'[1]SEP 8'!W31</f>
        <v>22.07</v>
      </c>
      <c r="X13" s="28" t="str">
        <f>'[1]SEP 8'!X31</f>
        <v>**</v>
      </c>
      <c r="Y13" s="28" t="str">
        <f>'[1]SEP 8'!Y31</f>
        <v>**</v>
      </c>
      <c r="Z13" s="25">
        <f t="shared" si="0"/>
        <v>22.289411764705882</v>
      </c>
      <c r="AA13" s="26">
        <v>8</v>
      </c>
      <c r="AB13" s="27">
        <f t="shared" si="1"/>
        <v>22.62</v>
      </c>
      <c r="AC13" s="27">
        <f t="shared" si="2"/>
        <v>22.07</v>
      </c>
    </row>
    <row r="14" spans="1:42" ht="14.25" customHeight="1" x14ac:dyDescent="0.3">
      <c r="A14" s="23">
        <v>9</v>
      </c>
      <c r="B14" s="28" t="str">
        <f>'[1]SEP 9'!B31</f>
        <v>**</v>
      </c>
      <c r="C14" s="28">
        <f>'[1]SEP 9'!C31</f>
        <v>21.97</v>
      </c>
      <c r="D14" s="28" t="str">
        <f>'[1]SEP 9'!D31</f>
        <v>**</v>
      </c>
      <c r="E14" s="28" t="str">
        <f>'[1]SEP 9'!E31</f>
        <v>**</v>
      </c>
      <c r="F14" s="28" t="str">
        <f>'[1]SEP 9'!F31</f>
        <v>**</v>
      </c>
      <c r="G14" s="28" t="str">
        <f>'[1]SEP 9'!G31</f>
        <v>**</v>
      </c>
      <c r="H14" s="28">
        <f>'[1]SEP 9'!H31</f>
        <v>21.85</v>
      </c>
      <c r="I14" s="28">
        <f>'[1]SEP 9'!I31</f>
        <v>21.83</v>
      </c>
      <c r="J14" s="28">
        <f>'[1]SEP 9'!J31</f>
        <v>21.81</v>
      </c>
      <c r="K14" s="28">
        <f>'[1]SEP 9'!K31</f>
        <v>21.79</v>
      </c>
      <c r="L14" s="28">
        <f>'[1]SEP 9'!L31</f>
        <v>21.77</v>
      </c>
      <c r="M14" s="28">
        <f>'[1]SEP 9'!M31</f>
        <v>21.76</v>
      </c>
      <c r="N14" s="28">
        <f>'[1]SEP 9'!N31</f>
        <v>21.75</v>
      </c>
      <c r="O14" s="28">
        <f>'[1]SEP 9'!O31</f>
        <v>21.75</v>
      </c>
      <c r="P14" s="28">
        <f>'[1]SEP 9'!P31</f>
        <v>21.75</v>
      </c>
      <c r="Q14" s="28">
        <f>'[1]SEP 9'!Q31</f>
        <v>21.74</v>
      </c>
      <c r="R14" s="28">
        <f>'[1]SEP 9'!R31</f>
        <v>21.74</v>
      </c>
      <c r="S14" s="28">
        <f>'[1]SEP 9'!S31</f>
        <v>21.74</v>
      </c>
      <c r="T14" s="28">
        <f>'[1]SEP 9'!T31</f>
        <v>21.74</v>
      </c>
      <c r="U14" s="28">
        <f>'[1]SEP 9'!U31</f>
        <v>21.74</v>
      </c>
      <c r="V14" s="28">
        <f>'[1]SEP 9'!V31</f>
        <v>21.74</v>
      </c>
      <c r="W14" s="28">
        <f>'[1]SEP 9'!W31</f>
        <v>21.74</v>
      </c>
      <c r="X14" s="28">
        <f>'[1]SEP 9'!X31</f>
        <v>21.74</v>
      </c>
      <c r="Y14" s="28">
        <f>'[1]SEP 9'!Y31</f>
        <v>21.74</v>
      </c>
      <c r="Z14" s="25">
        <f t="shared" si="0"/>
        <v>21.773157894736844</v>
      </c>
      <c r="AA14" s="26">
        <v>9</v>
      </c>
      <c r="AB14" s="27">
        <f t="shared" si="1"/>
        <v>21.97</v>
      </c>
      <c r="AC14" s="27">
        <f t="shared" si="2"/>
        <v>21.74</v>
      </c>
    </row>
    <row r="15" spans="1:42" ht="14.25" customHeight="1" x14ac:dyDescent="0.3">
      <c r="A15" s="23">
        <v>10</v>
      </c>
      <c r="B15" s="28">
        <f>'[1]SEP 10'!B31</f>
        <v>21.74</v>
      </c>
      <c r="C15" s="28">
        <f>'[1]SEP 10'!C31</f>
        <v>21.74</v>
      </c>
      <c r="D15" s="28">
        <f>'[1]SEP 10'!D31</f>
        <v>21.74</v>
      </c>
      <c r="E15" s="28" t="str">
        <f>'[1]SEP 10'!E31</f>
        <v>**</v>
      </c>
      <c r="F15" s="28">
        <f>'[1]SEP 10'!F31</f>
        <v>21.74</v>
      </c>
      <c r="G15" s="28">
        <f>'[1]SEP 10'!G31</f>
        <v>21.74</v>
      </c>
      <c r="H15" s="28">
        <f>'[1]SEP 10'!H31</f>
        <v>21.74</v>
      </c>
      <c r="I15" s="28">
        <f>'[1]SEP 10'!I31</f>
        <v>21.73</v>
      </c>
      <c r="J15" s="28">
        <f>'[1]SEP 10'!J31</f>
        <v>21.73</v>
      </c>
      <c r="K15" s="28" t="str">
        <f>'[1]SEP 10'!K31</f>
        <v>**</v>
      </c>
      <c r="L15" s="28">
        <f>'[1]SEP 10'!L31</f>
        <v>21.73</v>
      </c>
      <c r="M15" s="28">
        <f>'[1]SEP 10'!M31</f>
        <v>21.73</v>
      </c>
      <c r="N15" s="28">
        <f>'[1]SEP 10'!N31</f>
        <v>21.73</v>
      </c>
      <c r="O15" s="28">
        <f>'[1]SEP 10'!O31</f>
        <v>21.73</v>
      </c>
      <c r="P15" s="28">
        <f>'[1]SEP 10'!P31</f>
        <v>21.73</v>
      </c>
      <c r="Q15" s="28">
        <f>'[1]SEP 10'!Q31</f>
        <v>21.73</v>
      </c>
      <c r="R15" s="28">
        <f>'[1]SEP 10'!R31</f>
        <v>21.73</v>
      </c>
      <c r="S15" s="28">
        <f>'[1]SEP 10'!S31</f>
        <v>21.73</v>
      </c>
      <c r="T15" s="28">
        <f>'[1]SEP 10'!T31</f>
        <v>21.73</v>
      </c>
      <c r="U15" s="28">
        <f>'[1]SEP 10'!U31</f>
        <v>21.73</v>
      </c>
      <c r="V15" s="28">
        <f>'[1]SEP 10'!V31</f>
        <v>21.73</v>
      </c>
      <c r="W15" s="28">
        <f>'[1]SEP 10'!W31</f>
        <v>21.73</v>
      </c>
      <c r="X15" s="28">
        <f>'[1]SEP 10'!X31</f>
        <v>21.73</v>
      </c>
      <c r="Y15" s="28">
        <f>'[1]SEP 10'!Y31</f>
        <v>21.73</v>
      </c>
      <c r="Z15" s="25">
        <f t="shared" si="0"/>
        <v>21.732727272727278</v>
      </c>
      <c r="AA15" s="26">
        <v>10</v>
      </c>
      <c r="AB15" s="27">
        <f t="shared" si="1"/>
        <v>21.74</v>
      </c>
      <c r="AC15" s="27">
        <f t="shared" si="2"/>
        <v>21.73</v>
      </c>
    </row>
    <row r="16" spans="1:42" ht="14.25" customHeight="1" x14ac:dyDescent="0.3">
      <c r="A16" s="23">
        <v>11</v>
      </c>
      <c r="B16" s="28">
        <f>'[1]SEP 11'!B31</f>
        <v>21.73</v>
      </c>
      <c r="C16" s="28">
        <f>'[1]SEP 11'!C31</f>
        <v>21.73</v>
      </c>
      <c r="D16" s="28" t="str">
        <f>'[1]SEP 11'!D31</f>
        <v>**</v>
      </c>
      <c r="E16" s="28" t="str">
        <f>'[1]SEP 11'!E31</f>
        <v>**</v>
      </c>
      <c r="F16" s="28" t="str">
        <f>'[1]SEP 11'!F31</f>
        <v>**</v>
      </c>
      <c r="G16" s="28" t="str">
        <f>'[1]SEP 11'!G31</f>
        <v>**</v>
      </c>
      <c r="H16" s="28" t="str">
        <f>'[1]SEP 11'!H31</f>
        <v>**</v>
      </c>
      <c r="I16" s="28" t="str">
        <f>'[1]SEP 11'!I31</f>
        <v>**</v>
      </c>
      <c r="J16" s="28">
        <f>'[1]SEP 11'!J31</f>
        <v>21.73</v>
      </c>
      <c r="K16" s="28">
        <f>'[1]SEP 11'!K31</f>
        <v>21.73</v>
      </c>
      <c r="L16" s="28" t="str">
        <f>'[1]SEP 11'!L31</f>
        <v>**</v>
      </c>
      <c r="M16" s="28">
        <f>'[1]SEP 11'!M31</f>
        <v>21.88</v>
      </c>
      <c r="N16" s="28">
        <f>'[1]SEP 11'!N31</f>
        <v>21.87</v>
      </c>
      <c r="O16" s="28">
        <f>'[1]SEP 11'!O31</f>
        <v>21.8</v>
      </c>
      <c r="P16" s="28">
        <f>'[1]SEP 11'!P31</f>
        <v>21.75</v>
      </c>
      <c r="Q16" s="28">
        <f>'[1]SEP 11'!Q31</f>
        <v>21.75</v>
      </c>
      <c r="R16" s="28">
        <f>'[1]SEP 11'!R31</f>
        <v>21.75</v>
      </c>
      <c r="S16" s="28">
        <f>'[1]SEP 11'!S31</f>
        <v>21.75</v>
      </c>
      <c r="T16" s="28" t="str">
        <f>'[1]SEP 11'!T31</f>
        <v>**</v>
      </c>
      <c r="U16" s="28">
        <f>'[1]SEP 11'!U31</f>
        <v>21.75</v>
      </c>
      <c r="V16" s="28">
        <f>'[1]SEP 11'!V31</f>
        <v>21.75</v>
      </c>
      <c r="W16" s="28" t="str">
        <f>'[1]SEP 11'!W31</f>
        <v>**</v>
      </c>
      <c r="X16" s="28">
        <f>'[1]SEP 11'!X31</f>
        <v>21.75</v>
      </c>
      <c r="Y16" s="28">
        <f>'[1]SEP 11'!Y31</f>
        <v>21.75</v>
      </c>
      <c r="Z16" s="25">
        <f t="shared" si="0"/>
        <v>21.764666666666667</v>
      </c>
      <c r="AA16" s="26">
        <v>11</v>
      </c>
      <c r="AB16" s="27">
        <f t="shared" si="1"/>
        <v>21.88</v>
      </c>
      <c r="AC16" s="27">
        <f t="shared" si="2"/>
        <v>21.73</v>
      </c>
    </row>
    <row r="17" spans="1:29" ht="14.25" customHeight="1" x14ac:dyDescent="0.3">
      <c r="A17" s="23">
        <v>12</v>
      </c>
      <c r="B17" s="28" t="str">
        <f>'[1]SEP 12'!B31</f>
        <v>**</v>
      </c>
      <c r="C17" s="28">
        <f>'[1]SEP 12'!C31</f>
        <v>21.75</v>
      </c>
      <c r="D17" s="28">
        <f>'[1]SEP 12'!D31</f>
        <v>21.75</v>
      </c>
      <c r="E17" s="28">
        <f>'[1]SEP 12'!E31</f>
        <v>21.75</v>
      </c>
      <c r="F17" s="28">
        <f>'[1]SEP 12'!F31</f>
        <v>21.75</v>
      </c>
      <c r="G17" s="28">
        <f>'[1]SEP 12'!G31</f>
        <v>21.75</v>
      </c>
      <c r="H17" s="28">
        <f>'[1]SEP 12'!H31</f>
        <v>21.75</v>
      </c>
      <c r="I17" s="28">
        <f>'[1]SEP 12'!I31</f>
        <v>21.75</v>
      </c>
      <c r="J17" s="28" t="str">
        <f>'[1]SEP 12'!J31</f>
        <v>**</v>
      </c>
      <c r="K17" s="28" t="str">
        <f>'[1]SEP 12'!K31</f>
        <v>**</v>
      </c>
      <c r="L17" s="28" t="str">
        <f>'[1]SEP 12'!L31</f>
        <v>**</v>
      </c>
      <c r="M17" s="28">
        <f>'[1]SEP 12'!M31</f>
        <v>21.75</v>
      </c>
      <c r="N17" s="28" t="str">
        <f>'[1]SEP 12'!N31</f>
        <v>**</v>
      </c>
      <c r="O17" s="28">
        <f>'[1]SEP 12'!O31</f>
        <v>21.75</v>
      </c>
      <c r="P17" s="28">
        <f>'[1]SEP 12'!P31</f>
        <v>21.75</v>
      </c>
      <c r="Q17" s="28">
        <f>'[1]SEP 12'!Q31</f>
        <v>21.75</v>
      </c>
      <c r="R17" s="28">
        <f>'[1]SEP 12'!R31</f>
        <v>21.75</v>
      </c>
      <c r="S17" s="28">
        <f>'[1]SEP 12'!S31</f>
        <v>21.75</v>
      </c>
      <c r="T17" s="28">
        <f>'[1]SEP 12'!T31</f>
        <v>21.75</v>
      </c>
      <c r="U17" s="28">
        <f>'[1]SEP 12'!U31</f>
        <v>21.75</v>
      </c>
      <c r="V17" s="28">
        <f>'[1]SEP 12'!V31</f>
        <v>21.74</v>
      </c>
      <c r="W17" s="28">
        <f>'[1]SEP 12'!W31</f>
        <v>21.74</v>
      </c>
      <c r="X17" s="28">
        <f>'[1]SEP 12'!X31</f>
        <v>21.74</v>
      </c>
      <c r="Y17" s="28">
        <f>'[1]SEP 12'!Y31</f>
        <v>21.74</v>
      </c>
      <c r="Z17" s="25">
        <f t="shared" si="0"/>
        <v>21.747894736842106</v>
      </c>
      <c r="AA17" s="26">
        <v>12</v>
      </c>
      <c r="AB17" s="27">
        <f t="shared" si="1"/>
        <v>21.75</v>
      </c>
      <c r="AC17" s="27">
        <f t="shared" si="2"/>
        <v>21.74</v>
      </c>
    </row>
    <row r="18" spans="1:29" ht="14.25" customHeight="1" x14ac:dyDescent="0.3">
      <c r="A18" s="23">
        <v>13</v>
      </c>
      <c r="B18" s="28" t="str">
        <f>'[1]SEP 13'!B31</f>
        <v>**</v>
      </c>
      <c r="C18" s="28">
        <f>'[1]SEP 13'!C31</f>
        <v>21.74</v>
      </c>
      <c r="D18" s="28">
        <f>'[1]SEP 13'!D31</f>
        <v>21.74</v>
      </c>
      <c r="E18" s="28">
        <f>'[1]SEP 13'!E31</f>
        <v>21.74</v>
      </c>
      <c r="F18" s="28">
        <f>'[1]SEP 13'!F31</f>
        <v>21.74</v>
      </c>
      <c r="G18" s="28">
        <f>'[1]SEP 13'!G31</f>
        <v>21.74</v>
      </c>
      <c r="H18" s="28">
        <f>'[1]SEP 13'!H31</f>
        <v>21.74</v>
      </c>
      <c r="I18" s="28">
        <f>'[1]SEP 13'!I31</f>
        <v>21.74</v>
      </c>
      <c r="J18" s="28" t="str">
        <f>'[1]SEP 13'!J31</f>
        <v>**</v>
      </c>
      <c r="K18" s="28">
        <f>'[1]SEP 13'!K31</f>
        <v>21.74</v>
      </c>
      <c r="L18" s="28">
        <f>'[1]SEP 13'!L31</f>
        <v>21.74</v>
      </c>
      <c r="M18" s="28">
        <f>'[1]SEP 13'!M31</f>
        <v>21.74</v>
      </c>
      <c r="N18" s="28" t="str">
        <f>'[1]SEP 13'!N31</f>
        <v>**</v>
      </c>
      <c r="O18" s="28" t="str">
        <f>'[1]SEP 13'!O31</f>
        <v>**</v>
      </c>
      <c r="P18" s="28" t="str">
        <f>'[1]SEP 13'!P31</f>
        <v>**</v>
      </c>
      <c r="Q18" s="28" t="str">
        <f>'[1]SEP 13'!Q31</f>
        <v>**</v>
      </c>
      <c r="R18" s="28" t="str">
        <f>'[1]SEP 13'!R31</f>
        <v>**</v>
      </c>
      <c r="S18" s="28">
        <f>'[1]SEP 13'!S31</f>
        <v>21.74</v>
      </c>
      <c r="T18" s="28">
        <f>'[1]SEP 13'!T31</f>
        <v>21.74</v>
      </c>
      <c r="U18" s="28" t="str">
        <f>'[1]SEP 13'!U31</f>
        <v>**</v>
      </c>
      <c r="V18" s="28" t="str">
        <f>'[1]SEP 13'!V31</f>
        <v>**</v>
      </c>
      <c r="W18" s="28" t="str">
        <f>'[1]SEP 13'!W31</f>
        <v>**</v>
      </c>
      <c r="X18" s="28">
        <f>'[1]SEP 13'!X31</f>
        <v>21.74</v>
      </c>
      <c r="Y18" s="28">
        <f>'[1]SEP 13'!Y31</f>
        <v>21.74</v>
      </c>
      <c r="Z18" s="25">
        <f t="shared" si="0"/>
        <v>21.740000000000006</v>
      </c>
      <c r="AA18" s="26">
        <v>13</v>
      </c>
      <c r="AB18" s="27">
        <f t="shared" si="1"/>
        <v>21.74</v>
      </c>
      <c r="AC18" s="27">
        <f t="shared" si="2"/>
        <v>21.74</v>
      </c>
    </row>
    <row r="19" spans="1:29" ht="14.25" customHeight="1" x14ac:dyDescent="0.3">
      <c r="A19" s="23">
        <v>14</v>
      </c>
      <c r="B19" s="28">
        <f>'[1]SEP 14'!B31</f>
        <v>21.74</v>
      </c>
      <c r="C19" s="28">
        <f>'[1]SEP 14'!C31</f>
        <v>21.74</v>
      </c>
      <c r="D19" s="28">
        <f>'[1]SEP 14'!D31</f>
        <v>21.74</v>
      </c>
      <c r="E19" s="28">
        <f>'[1]SEP 14'!E31</f>
        <v>21.74</v>
      </c>
      <c r="F19" s="28" t="str">
        <f>'[1]SEP 14'!F31</f>
        <v>**</v>
      </c>
      <c r="G19" s="28" t="str">
        <f>'[1]SEP 14'!G31</f>
        <v>**</v>
      </c>
      <c r="H19" s="28">
        <f>'[1]SEP 14'!H31</f>
        <v>21.47</v>
      </c>
      <c r="I19" s="28" t="str">
        <f>'[1]SEP 14'!I31</f>
        <v>**</v>
      </c>
      <c r="J19" s="28">
        <f>'[1]SEP 14'!J31</f>
        <v>21.74</v>
      </c>
      <c r="K19" s="28">
        <f>'[1]SEP 14'!K31</f>
        <v>21.74</v>
      </c>
      <c r="L19" s="28" t="str">
        <f>'[1]SEP 14'!L31</f>
        <v>**</v>
      </c>
      <c r="M19" s="28" t="str">
        <f>'[1]SEP 14'!M31</f>
        <v>**</v>
      </c>
      <c r="N19" s="28">
        <f>'[1]SEP 14'!N31</f>
        <v>21.74</v>
      </c>
      <c r="O19" s="28">
        <f>'[1]SEP 14'!O31</f>
        <v>21.74</v>
      </c>
      <c r="P19" s="28">
        <f>'[1]SEP 14'!P31</f>
        <v>21.74</v>
      </c>
      <c r="Q19" s="28" t="str">
        <f>'[1]SEP 14'!Q31</f>
        <v>**</v>
      </c>
      <c r="R19" s="28" t="str">
        <f>'[1]SEP 14'!R31</f>
        <v>**</v>
      </c>
      <c r="S19" s="28">
        <f>'[1]SEP 14'!S31</f>
        <v>21.74</v>
      </c>
      <c r="T19" s="28">
        <f>'[1]SEP 14'!T31</f>
        <v>21.74</v>
      </c>
      <c r="U19" s="28">
        <f>'[1]SEP 14'!U31</f>
        <v>21.74</v>
      </c>
      <c r="V19" s="28">
        <f>'[1]SEP 14'!V31</f>
        <v>21.74</v>
      </c>
      <c r="W19" s="28">
        <f>'[1]SEP 14'!W31</f>
        <v>21.74</v>
      </c>
      <c r="X19" s="28">
        <f>'[1]SEP 14'!X31</f>
        <v>21.74</v>
      </c>
      <c r="Y19" s="28">
        <f>'[1]SEP 14'!Y31</f>
        <v>21.74</v>
      </c>
      <c r="Z19" s="25">
        <f t="shared" si="0"/>
        <v>21.724117647058826</v>
      </c>
      <c r="AA19" s="26">
        <v>14</v>
      </c>
      <c r="AB19" s="27">
        <f t="shared" si="1"/>
        <v>21.74</v>
      </c>
      <c r="AC19" s="27">
        <f t="shared" si="2"/>
        <v>21.47</v>
      </c>
    </row>
    <row r="20" spans="1:29" ht="14.25" customHeight="1" x14ac:dyDescent="0.3">
      <c r="A20" s="23">
        <v>15</v>
      </c>
      <c r="B20" s="28">
        <f>'[1]SEP 15'!B31</f>
        <v>21.74</v>
      </c>
      <c r="C20" s="28" t="str">
        <f>'[1]SEP 15'!C31</f>
        <v>**</v>
      </c>
      <c r="D20" s="28">
        <f>'[1]SEP 15'!D31</f>
        <v>21.74</v>
      </c>
      <c r="E20" s="28" t="str">
        <f>'[1]SEP 15'!E31</f>
        <v>**</v>
      </c>
      <c r="F20" s="28">
        <f>'[1]SEP 15'!F31</f>
        <v>21.74</v>
      </c>
      <c r="G20" s="28" t="str">
        <f>'[1]SEP 15'!G31</f>
        <v>**</v>
      </c>
      <c r="H20" s="28">
        <f>'[1]SEP 15'!H31</f>
        <v>21.74</v>
      </c>
      <c r="I20" s="28">
        <f>'[1]SEP 15'!I31</f>
        <v>21.74</v>
      </c>
      <c r="J20" s="28">
        <f>'[1]SEP 15'!J31</f>
        <v>21.74</v>
      </c>
      <c r="K20" s="28">
        <f>'[1]SEP 15'!K31</f>
        <v>21.74</v>
      </c>
      <c r="L20" s="28">
        <f>'[1]SEP 15'!L31</f>
        <v>21.74</v>
      </c>
      <c r="M20" s="28">
        <f>'[1]SEP 15'!M31</f>
        <v>21.74</v>
      </c>
      <c r="N20" s="28">
        <f>'[1]SEP 15'!N31</f>
        <v>21.74</v>
      </c>
      <c r="O20" s="28">
        <f>'[1]SEP 15'!O31</f>
        <v>21.74</v>
      </c>
      <c r="P20" s="28" t="str">
        <f>'[1]SEP 15'!P31</f>
        <v>**</v>
      </c>
      <c r="Q20" s="28" t="str">
        <f>'[1]SEP 15'!Q31</f>
        <v>**</v>
      </c>
      <c r="R20" s="28" t="str">
        <f>'[1]SEP 15'!R31</f>
        <v>**</v>
      </c>
      <c r="S20" s="28" t="str">
        <f>'[1]SEP 15'!S31</f>
        <v>**</v>
      </c>
      <c r="T20" s="28">
        <f>'[1]SEP 15'!T31</f>
        <v>21.99</v>
      </c>
      <c r="U20" s="28">
        <f>'[1]SEP 15'!U31</f>
        <v>21.95</v>
      </c>
      <c r="V20" s="28">
        <f>'[1]SEP 15'!V31</f>
        <v>21.93</v>
      </c>
      <c r="W20" s="28">
        <f>'[1]SEP 15'!W31</f>
        <v>21.91</v>
      </c>
      <c r="X20" s="28">
        <f>'[1]SEP 15'!X31</f>
        <v>21.89</v>
      </c>
      <c r="Y20" s="28">
        <f>'[1]SEP 15'!Y31</f>
        <v>21.87</v>
      </c>
      <c r="Z20" s="25">
        <f t="shared" si="0"/>
        <v>21.804705882352945</v>
      </c>
      <c r="AA20" s="26">
        <v>15</v>
      </c>
      <c r="AB20" s="27">
        <f t="shared" si="1"/>
        <v>21.99</v>
      </c>
      <c r="AC20" s="27">
        <f t="shared" si="2"/>
        <v>21.74</v>
      </c>
    </row>
    <row r="21" spans="1:29" ht="14.25" customHeight="1" x14ac:dyDescent="0.3">
      <c r="A21" s="23">
        <v>16</v>
      </c>
      <c r="B21" s="28">
        <f>'[1]SEP 16'!B31</f>
        <v>21.86</v>
      </c>
      <c r="C21" s="28">
        <f>'[1]SEP 16'!C31</f>
        <v>21.84</v>
      </c>
      <c r="D21" s="28">
        <f>'[1]SEP 16'!D31</f>
        <v>21.83</v>
      </c>
      <c r="E21" s="28">
        <f>'[1]SEP 16'!E31</f>
        <v>21.82</v>
      </c>
      <c r="F21" s="28">
        <f>'[1]SEP 16'!F31</f>
        <v>21.81</v>
      </c>
      <c r="G21" s="28">
        <f>'[1]SEP 16'!G31</f>
        <v>21.8</v>
      </c>
      <c r="H21" s="28">
        <f>'[1]SEP 16'!H31</f>
        <v>21.79</v>
      </c>
      <c r="I21" s="28">
        <f>'[1]SEP 16'!I31</f>
        <v>21.78</v>
      </c>
      <c r="J21" s="28">
        <f>'[1]SEP 16'!J31</f>
        <v>21.77</v>
      </c>
      <c r="K21" s="28" t="str">
        <f>'[1]SEP 16'!K31</f>
        <v>**</v>
      </c>
      <c r="L21" s="28">
        <f>'[1]SEP 16'!L31</f>
        <v>21.85</v>
      </c>
      <c r="M21" s="28">
        <f>'[1]SEP 16'!M31</f>
        <v>22.07</v>
      </c>
      <c r="N21" s="28">
        <f>'[1]SEP 16'!N31</f>
        <v>22.1</v>
      </c>
      <c r="O21" s="28">
        <f>'[1]SEP 16'!O31</f>
        <v>22.09</v>
      </c>
      <c r="P21" s="28">
        <f>'[1]SEP 16'!P31</f>
        <v>22.07</v>
      </c>
      <c r="Q21" s="28">
        <f>'[1]SEP 16'!Q31</f>
        <v>22.04</v>
      </c>
      <c r="R21" s="28">
        <f>'[1]SEP 16'!R31</f>
        <v>22.02</v>
      </c>
      <c r="S21" s="28">
        <f>'[1]SEP 16'!S31</f>
        <v>22</v>
      </c>
      <c r="T21" s="28">
        <f>'[1]SEP 16'!T31</f>
        <v>21.98</v>
      </c>
      <c r="U21" s="28">
        <f>'[1]SEP 16'!U31</f>
        <v>21.97</v>
      </c>
      <c r="V21" s="28">
        <f>'[1]SEP 16'!V31</f>
        <v>21.95</v>
      </c>
      <c r="W21" s="28">
        <f>'[1]SEP 16'!W31</f>
        <v>21.94</v>
      </c>
      <c r="X21" s="28">
        <f>'[1]SEP 16'!X31</f>
        <v>21.92</v>
      </c>
      <c r="Y21" s="28">
        <f>'[1]SEP 16'!Y31</f>
        <v>21.91</v>
      </c>
      <c r="Z21" s="25">
        <f t="shared" si="0"/>
        <v>21.92217391304348</v>
      </c>
      <c r="AA21" s="26">
        <v>16</v>
      </c>
      <c r="AB21" s="27">
        <f t="shared" si="1"/>
        <v>22.1</v>
      </c>
      <c r="AC21" s="27">
        <f t="shared" si="2"/>
        <v>21.77</v>
      </c>
    </row>
    <row r="22" spans="1:29" ht="14.25" customHeight="1" x14ac:dyDescent="0.3">
      <c r="A22" s="23">
        <v>17</v>
      </c>
      <c r="B22" s="28">
        <f>'[1]SEP 17'!B31</f>
        <v>21.9</v>
      </c>
      <c r="C22" s="28">
        <f>'[1]SEP 17'!C31</f>
        <v>21.88</v>
      </c>
      <c r="D22" s="28">
        <f>'[1]SEP 17'!D31</f>
        <v>21.87</v>
      </c>
      <c r="E22" s="28">
        <f>'[1]SEP 17'!E31</f>
        <v>21.86</v>
      </c>
      <c r="F22" s="28" t="str">
        <f>'[1]SEP 17'!F31</f>
        <v>**</v>
      </c>
      <c r="G22" s="28" t="str">
        <f>'[1]SEP 17'!G31</f>
        <v>**</v>
      </c>
      <c r="H22" s="28" t="str">
        <f>'[1]SEP 17'!H31</f>
        <v>**</v>
      </c>
      <c r="I22" s="28">
        <f>'[1]SEP 17'!I31</f>
        <v>21.82</v>
      </c>
      <c r="J22" s="28" t="str">
        <f>'[1]SEP 17'!J31</f>
        <v>**</v>
      </c>
      <c r="K22" s="28">
        <f>'[1]SEP 17'!K31</f>
        <v>21.79</v>
      </c>
      <c r="L22" s="28">
        <f>'[1]SEP 17'!L31</f>
        <v>21.93</v>
      </c>
      <c r="M22" s="28">
        <f>'[1]SEP 17'!M31</f>
        <v>21.96</v>
      </c>
      <c r="N22" s="28">
        <f>'[1]SEP 17'!N31</f>
        <v>21.97</v>
      </c>
      <c r="O22" s="28">
        <f>'[1]SEP 17'!O31</f>
        <v>21.99</v>
      </c>
      <c r="P22" s="28">
        <f>'[1]SEP 17'!P31</f>
        <v>22.02</v>
      </c>
      <c r="Q22" s="28">
        <f>'[1]SEP 17'!Q31</f>
        <v>22.03</v>
      </c>
      <c r="R22" s="28">
        <f>'[1]SEP 17'!R31</f>
        <v>22.03</v>
      </c>
      <c r="S22" s="28">
        <f>'[1]SEP 17'!S31</f>
        <v>22.03</v>
      </c>
      <c r="T22" s="28">
        <f>'[1]SEP 17'!T31</f>
        <v>22.03</v>
      </c>
      <c r="U22" s="28">
        <f>'[1]SEP 17'!U31</f>
        <v>22.03</v>
      </c>
      <c r="V22" s="28">
        <f>'[1]SEP 17'!V31</f>
        <v>22.03</v>
      </c>
      <c r="W22" s="28">
        <f>'[1]SEP 17'!W31</f>
        <v>22.03</v>
      </c>
      <c r="X22" s="28">
        <f>'[1]SEP 17'!X31</f>
        <v>22.02</v>
      </c>
      <c r="Y22" s="28">
        <f>'[1]SEP 17'!Y31</f>
        <v>22.02</v>
      </c>
      <c r="Z22" s="25">
        <f t="shared" si="0"/>
        <v>21.961999999999996</v>
      </c>
      <c r="AA22" s="26">
        <v>17</v>
      </c>
      <c r="AB22" s="27">
        <f>MAX(B22:Y22)</f>
        <v>22.03</v>
      </c>
      <c r="AC22" s="27">
        <f>MIN(B22:Y22)</f>
        <v>21.79</v>
      </c>
    </row>
    <row r="23" spans="1:29" ht="14.25" customHeight="1" x14ac:dyDescent="0.3">
      <c r="A23" s="23">
        <v>18</v>
      </c>
      <c r="B23" s="28">
        <f>'[1]SEP 18'!B31</f>
        <v>22.01</v>
      </c>
      <c r="C23" s="28">
        <f>'[1]SEP 18'!C31</f>
        <v>22.01</v>
      </c>
      <c r="D23" s="28">
        <f>'[1]SEP 18'!D31</f>
        <v>22</v>
      </c>
      <c r="E23" s="28">
        <f>'[1]SEP 18'!E31</f>
        <v>22</v>
      </c>
      <c r="F23" s="28">
        <f>'[1]SEP 18'!F31</f>
        <v>22.01</v>
      </c>
      <c r="G23" s="28">
        <f>'[1]SEP 18'!G31</f>
        <v>22.02</v>
      </c>
      <c r="H23" s="28">
        <f>'[1]SEP 18'!H31</f>
        <v>22.02</v>
      </c>
      <c r="I23" s="28">
        <f>'[1]SEP 18'!I31</f>
        <v>22.02</v>
      </c>
      <c r="J23" s="28">
        <f>'[1]SEP 18'!J31</f>
        <v>22.02</v>
      </c>
      <c r="K23" s="28">
        <f>'[1]SEP 18'!K31</f>
        <v>22.02</v>
      </c>
      <c r="L23" s="28">
        <f>'[1]SEP 18'!L31</f>
        <v>22.01</v>
      </c>
      <c r="M23" s="28">
        <f>'[1]SEP 18'!M31</f>
        <v>22</v>
      </c>
      <c r="N23" s="28">
        <f>'[1]SEP 18'!N31</f>
        <v>21.99</v>
      </c>
      <c r="O23" s="28">
        <f>'[1]SEP 18'!O31</f>
        <v>21.97</v>
      </c>
      <c r="P23" s="28">
        <f>'[1]SEP 18'!P31</f>
        <v>21.96</v>
      </c>
      <c r="Q23" s="28">
        <f>'[1]SEP 18'!Q31</f>
        <v>21.95</v>
      </c>
      <c r="R23" s="28">
        <f>'[1]SEP 18'!R31</f>
        <v>21.94</v>
      </c>
      <c r="S23" s="28">
        <f>'[1]SEP 18'!S31</f>
        <v>22.24</v>
      </c>
      <c r="T23" s="28">
        <f>'[1]SEP 18'!T31</f>
        <v>22.41</v>
      </c>
      <c r="U23" s="28">
        <f>'[1]SEP 18'!U31</f>
        <v>22.44</v>
      </c>
      <c r="V23" s="28">
        <f>'[1]SEP 18'!V31</f>
        <v>22.44</v>
      </c>
      <c r="W23" s="28">
        <f>'[1]SEP 18'!W31</f>
        <v>22.4</v>
      </c>
      <c r="X23" s="28">
        <f>'[1]SEP 18'!X31</f>
        <v>22.37</v>
      </c>
      <c r="Y23" s="28">
        <f>'[1]SEP 18'!Y31</f>
        <v>22.33</v>
      </c>
      <c r="Z23" s="25">
        <f t="shared" si="0"/>
        <v>22.107500000000002</v>
      </c>
      <c r="AA23" s="26">
        <v>18</v>
      </c>
      <c r="AB23" s="27">
        <f t="shared" si="1"/>
        <v>22.44</v>
      </c>
      <c r="AC23" s="27">
        <f t="shared" si="2"/>
        <v>21.94</v>
      </c>
    </row>
    <row r="24" spans="1:29" ht="14.25" customHeight="1" x14ac:dyDescent="0.3">
      <c r="A24" s="23">
        <v>19</v>
      </c>
      <c r="B24" s="28">
        <f>'[1]SEP 19'!B31</f>
        <v>22.3</v>
      </c>
      <c r="C24" s="28">
        <f>'[1]SEP 19'!C31</f>
        <v>22.28</v>
      </c>
      <c r="D24" s="28">
        <f>'[1]SEP 19'!D31</f>
        <v>22.26</v>
      </c>
      <c r="E24" s="28">
        <f>'[1]SEP 19'!E31</f>
        <v>22.24</v>
      </c>
      <c r="F24" s="28" t="str">
        <f>'[1]SEP 19'!F31</f>
        <v>**</v>
      </c>
      <c r="G24" s="28">
        <f>'[1]SEP 19'!G31</f>
        <v>22.21</v>
      </c>
      <c r="H24" s="28">
        <f>'[1]SEP 19'!H31</f>
        <v>22.2</v>
      </c>
      <c r="I24" s="28">
        <f>'[1]SEP 19'!I31</f>
        <v>22.19</v>
      </c>
      <c r="J24" s="28" t="str">
        <f>'[1]SEP 19'!J31</f>
        <v>**</v>
      </c>
      <c r="K24" s="28">
        <f>'[1]SEP 19'!K31</f>
        <v>22.18</v>
      </c>
      <c r="L24" s="28">
        <f>'[1]SEP 19'!L31</f>
        <v>22.18</v>
      </c>
      <c r="M24" s="28">
        <f>'[1]SEP 19'!M31</f>
        <v>22.18</v>
      </c>
      <c r="N24" s="28">
        <f>'[1]SEP 19'!N31</f>
        <v>22.17</v>
      </c>
      <c r="O24" s="28">
        <f>'[1]SEP 19'!O31</f>
        <v>22.17</v>
      </c>
      <c r="P24" s="28" t="str">
        <f>'[1]SEP 19'!P31</f>
        <v>**</v>
      </c>
      <c r="Q24" s="28">
        <f>'[1]SEP 19'!Q31</f>
        <v>22.15</v>
      </c>
      <c r="R24" s="28" t="str">
        <f>'[1]SEP 19'!R31</f>
        <v>**</v>
      </c>
      <c r="S24" s="28" t="str">
        <f>'[1]SEP 19'!S31</f>
        <v>**</v>
      </c>
      <c r="T24" s="28">
        <f>'[1]SEP 19'!T31</f>
        <v>22.12</v>
      </c>
      <c r="U24" s="28" t="str">
        <f>'[1]SEP 19'!U31</f>
        <v>**</v>
      </c>
      <c r="V24" s="28">
        <f>'[1]SEP 19'!V31</f>
        <v>21.1</v>
      </c>
      <c r="W24" s="28" t="str">
        <f>'[1]SEP 19'!W31</f>
        <v>**</v>
      </c>
      <c r="X24" s="28">
        <f>'[1]SEP 19'!X31</f>
        <v>22.08</v>
      </c>
      <c r="Y24" s="28">
        <f>'[1]SEP 19'!Y31</f>
        <v>22.07</v>
      </c>
      <c r="Z24" s="25">
        <f t="shared" si="0"/>
        <v>22.122352941176469</v>
      </c>
      <c r="AA24" s="26">
        <v>19</v>
      </c>
      <c r="AB24" s="27">
        <f t="shared" si="1"/>
        <v>22.3</v>
      </c>
      <c r="AC24" s="27">
        <f t="shared" si="2"/>
        <v>21.1</v>
      </c>
    </row>
    <row r="25" spans="1:29" ht="14.25" customHeight="1" x14ac:dyDescent="0.3">
      <c r="A25" s="23">
        <v>20</v>
      </c>
      <c r="B25" s="28">
        <f>'[1]SEP 20'!B31</f>
        <v>22.06</v>
      </c>
      <c r="C25" s="28">
        <f>'[1]SEP 20'!C31</f>
        <v>22.05</v>
      </c>
      <c r="D25" s="28" t="str">
        <f>'[1]SEP 20'!D31</f>
        <v>**</v>
      </c>
      <c r="E25" s="28" t="str">
        <f>'[1]SEP 20'!E31</f>
        <v>**</v>
      </c>
      <c r="F25" s="28">
        <f>'[1]SEP 20'!F31</f>
        <v>22.02</v>
      </c>
      <c r="G25" s="28">
        <f>'[1]SEP 20'!G31</f>
        <v>22</v>
      </c>
      <c r="H25" s="28">
        <f>'[1]SEP 20'!H31</f>
        <v>21.99</v>
      </c>
      <c r="I25" s="28">
        <f>'[1]SEP 20'!I31</f>
        <v>21.98</v>
      </c>
      <c r="J25" s="28">
        <f>'[1]SEP 20'!J31</f>
        <v>21.97</v>
      </c>
      <c r="K25" s="28">
        <f>'[1]SEP 20'!K31</f>
        <v>21.95</v>
      </c>
      <c r="L25" s="28">
        <f>'[1]SEP 20'!L31</f>
        <v>21.94</v>
      </c>
      <c r="M25" s="28">
        <f>'[1]SEP 20'!M31</f>
        <v>21.93</v>
      </c>
      <c r="N25" s="28">
        <f>'[1]SEP 20'!N31</f>
        <v>21.92</v>
      </c>
      <c r="O25" s="28">
        <f>'[1]SEP 20'!O31</f>
        <v>21.91</v>
      </c>
      <c r="P25" s="28">
        <f>'[1]SEP 20'!P31</f>
        <v>21.9</v>
      </c>
      <c r="Q25" s="28">
        <f>'[1]SEP 20'!Q31</f>
        <v>21.89</v>
      </c>
      <c r="R25" s="28">
        <f>'[1]SEP 20'!R31</f>
        <v>21.88</v>
      </c>
      <c r="S25" s="28">
        <f>'[1]SEP 20'!S31</f>
        <v>21.87</v>
      </c>
      <c r="T25" s="28">
        <f>'[1]SEP 20'!T31</f>
        <v>21.86</v>
      </c>
      <c r="U25" s="28">
        <f>'[1]SEP 20'!U31</f>
        <v>21.81</v>
      </c>
      <c r="V25" s="28">
        <f>'[1]SEP 20'!V31</f>
        <v>21.84</v>
      </c>
      <c r="W25" s="28">
        <f>'[1]SEP 20'!W31</f>
        <v>21.84</v>
      </c>
      <c r="X25" s="28">
        <f>'[1]SEP 20'!X31</f>
        <v>21.82</v>
      </c>
      <c r="Y25" s="28">
        <f>'[1]SEP 20'!Y31</f>
        <v>21.81</v>
      </c>
      <c r="Z25" s="25">
        <f t="shared" si="0"/>
        <v>21.919999999999998</v>
      </c>
      <c r="AA25" s="26">
        <v>20</v>
      </c>
      <c r="AB25" s="27">
        <f t="shared" si="1"/>
        <v>22.06</v>
      </c>
      <c r="AC25" s="27">
        <f t="shared" si="2"/>
        <v>21.81</v>
      </c>
    </row>
    <row r="26" spans="1:29" ht="14.25" customHeight="1" x14ac:dyDescent="0.3">
      <c r="A26" s="23">
        <v>21</v>
      </c>
      <c r="B26" s="28">
        <f>'[1]SEP 21'!B31</f>
        <v>21.8</v>
      </c>
      <c r="C26" s="28">
        <f>'[1]SEP 21'!C31</f>
        <v>21.79</v>
      </c>
      <c r="D26" s="28">
        <f>'[1]SEP 21'!D31</f>
        <v>21.78</v>
      </c>
      <c r="E26" s="28">
        <f>'[1]SEP 21'!E31</f>
        <v>21.77</v>
      </c>
      <c r="F26" s="28">
        <f>'[1]SEP 21'!F31</f>
        <v>21.76</v>
      </c>
      <c r="G26" s="28">
        <f>'[1]SEP 21'!G31</f>
        <v>21.76</v>
      </c>
      <c r="H26" s="28">
        <f>'[1]SEP 21'!H31</f>
        <v>21.26</v>
      </c>
      <c r="I26" s="28">
        <f>'[1]SEP 21'!I31</f>
        <v>22.43</v>
      </c>
      <c r="J26" s="28">
        <f>'[1]SEP 21'!J31</f>
        <v>22.42</v>
      </c>
      <c r="K26" s="28">
        <f>'[1]SEP 21'!K31</f>
        <v>22.36</v>
      </c>
      <c r="L26" s="28">
        <f>'[1]SEP 21'!L31</f>
        <v>22.3</v>
      </c>
      <c r="M26" s="28">
        <f>'[1]SEP 21'!M31</f>
        <v>22.23</v>
      </c>
      <c r="N26" s="28">
        <f>'[1]SEP 21'!N31</f>
        <v>22.17</v>
      </c>
      <c r="O26" s="28">
        <f>'[1]SEP 21'!O31</f>
        <v>22.11</v>
      </c>
      <c r="P26" s="28">
        <f>'[1]SEP 21'!P31</f>
        <v>22.07</v>
      </c>
      <c r="Q26" s="28">
        <f>'[1]SEP 21'!Q31</f>
        <v>22.02</v>
      </c>
      <c r="R26" s="28">
        <f>'[1]SEP 21'!R31</f>
        <v>21.98</v>
      </c>
      <c r="S26" s="28">
        <f>'[1]SEP 21'!S31</f>
        <v>21.95</v>
      </c>
      <c r="T26" s="28">
        <f>'[1]SEP 21'!T31</f>
        <v>21.91</v>
      </c>
      <c r="U26" s="28">
        <f>'[1]SEP 21'!U31</f>
        <v>21.88</v>
      </c>
      <c r="V26" s="28">
        <f>'[1]SEP 21'!V31</f>
        <v>21.86</v>
      </c>
      <c r="W26" s="28">
        <f>'[1]SEP 21'!W31</f>
        <v>21.83</v>
      </c>
      <c r="X26" s="28">
        <f>'[1]SEP 21'!X31</f>
        <v>21.81</v>
      </c>
      <c r="Y26" s="28">
        <f>'[1]SEP 21'!Y31</f>
        <v>21.79</v>
      </c>
      <c r="Z26" s="25">
        <f t="shared" si="0"/>
        <v>21.960000000000004</v>
      </c>
      <c r="AA26" s="26">
        <v>21</v>
      </c>
      <c r="AB26" s="27">
        <f t="shared" si="1"/>
        <v>22.43</v>
      </c>
      <c r="AC26" s="27">
        <f t="shared" si="2"/>
        <v>21.26</v>
      </c>
    </row>
    <row r="27" spans="1:29" ht="14.25" customHeight="1" x14ac:dyDescent="0.3">
      <c r="A27" s="23">
        <v>22</v>
      </c>
      <c r="B27" s="28">
        <f>'[1]SEP 22'!B31</f>
        <v>21.27</v>
      </c>
      <c r="C27" s="28">
        <f>'[1]SEP 22'!C31</f>
        <v>21.76</v>
      </c>
      <c r="D27" s="28">
        <f>'[1]SEP 22'!D31</f>
        <v>21.75</v>
      </c>
      <c r="E27" s="28">
        <f>'[1]SEP 22'!E31</f>
        <v>21.75</v>
      </c>
      <c r="F27" s="28">
        <f>'[1]SEP 22'!F31</f>
        <v>21.75</v>
      </c>
      <c r="G27" s="28">
        <f>'[1]SEP 22'!G31</f>
        <v>21.75</v>
      </c>
      <c r="H27" s="28">
        <f>'[1]SEP 22'!H31</f>
        <v>21.75</v>
      </c>
      <c r="I27" s="28">
        <f>'[1]SEP 22'!I31</f>
        <v>21.75</v>
      </c>
      <c r="J27" s="28">
        <f>'[1]SEP 22'!J31</f>
        <v>21.75</v>
      </c>
      <c r="K27" s="28">
        <f>'[1]SEP 22'!K31</f>
        <v>21.75</v>
      </c>
      <c r="L27" s="28">
        <f>'[1]SEP 22'!L31</f>
        <v>21.75</v>
      </c>
      <c r="M27" s="28">
        <f>'[1]SEP 22'!M31</f>
        <v>21.75</v>
      </c>
      <c r="N27" s="28">
        <f>'[1]SEP 22'!N31</f>
        <v>21.75</v>
      </c>
      <c r="O27" s="28">
        <f>'[1]SEP 22'!O31</f>
        <v>21.75</v>
      </c>
      <c r="P27" s="28">
        <f>'[1]SEP 22'!P31</f>
        <v>21.75</v>
      </c>
      <c r="Q27" s="28">
        <f>'[1]SEP 22'!Q31</f>
        <v>21.75</v>
      </c>
      <c r="R27" s="28">
        <f>'[1]SEP 22'!R31</f>
        <v>21.75</v>
      </c>
      <c r="S27" s="28">
        <f>'[1]SEP 22'!S31</f>
        <v>21.75</v>
      </c>
      <c r="T27" s="28">
        <f>'[1]SEP 22'!T31</f>
        <v>21.75</v>
      </c>
      <c r="U27" s="28">
        <f>'[1]SEP 22'!U31</f>
        <v>21.75</v>
      </c>
      <c r="V27" s="28">
        <f>'[1]SEP 22'!V31</f>
        <v>21.75</v>
      </c>
      <c r="W27" s="28">
        <f>'[1]SEP 22'!W31</f>
        <v>21.75</v>
      </c>
      <c r="X27" s="28">
        <f>'[1]SEP 22'!X31</f>
        <v>21.75</v>
      </c>
      <c r="Y27" s="28">
        <f>'[1]SEP 22'!Y31</f>
        <v>21.75</v>
      </c>
      <c r="Z27" s="25">
        <f t="shared" si="0"/>
        <v>21.730416666666667</v>
      </c>
      <c r="AA27" s="26">
        <v>22</v>
      </c>
      <c r="AB27" s="27">
        <f t="shared" si="1"/>
        <v>21.76</v>
      </c>
      <c r="AC27" s="27">
        <f t="shared" si="2"/>
        <v>21.27</v>
      </c>
    </row>
    <row r="28" spans="1:29" ht="14.25" customHeight="1" x14ac:dyDescent="0.3">
      <c r="A28" s="23">
        <v>23</v>
      </c>
      <c r="B28" s="28">
        <f>'[1]SEP 23'!B31</f>
        <v>21.75</v>
      </c>
      <c r="C28" s="28">
        <f>'[1]SEP 23'!C31</f>
        <v>21.75</v>
      </c>
      <c r="D28" s="28">
        <f>'[1]SEP 23'!D31</f>
        <v>21.75</v>
      </c>
      <c r="E28" s="28">
        <f>'[1]SEP 23'!E31</f>
        <v>21.75</v>
      </c>
      <c r="F28" s="28">
        <f>'[1]SEP 23'!F31</f>
        <v>21.75</v>
      </c>
      <c r="G28" s="28" t="str">
        <f>'[1]SEP 23'!G31</f>
        <v>**</v>
      </c>
      <c r="H28" s="28">
        <f>'[1]SEP 23'!H31</f>
        <v>21.75</v>
      </c>
      <c r="I28" s="28">
        <f>'[1]SEP 23'!I31</f>
        <v>21.75</v>
      </c>
      <c r="J28" s="28">
        <f>'[1]SEP 23'!J31</f>
        <v>21.75</v>
      </c>
      <c r="K28" s="28">
        <f>'[1]SEP 23'!K31</f>
        <v>21.75</v>
      </c>
      <c r="L28" s="28">
        <f>'[1]SEP 23'!L31</f>
        <v>21.75</v>
      </c>
      <c r="M28" s="28">
        <f>'[1]SEP 23'!M31</f>
        <v>21.75</v>
      </c>
      <c r="N28" s="28">
        <f>'[1]SEP 23'!N31</f>
        <v>21.75</v>
      </c>
      <c r="O28" s="28">
        <f>'[1]SEP 23'!O31</f>
        <v>21.75</v>
      </c>
      <c r="P28" s="28">
        <f>'[1]SEP 23'!P31</f>
        <v>21.75</v>
      </c>
      <c r="Q28" s="28">
        <f>'[1]SEP 23'!Q31</f>
        <v>21.75</v>
      </c>
      <c r="R28" s="28">
        <f>'[1]SEP 23'!R31</f>
        <v>21.75</v>
      </c>
      <c r="S28" s="28" t="str">
        <f>'[1]SEP 23'!S31</f>
        <v>**</v>
      </c>
      <c r="T28" s="28">
        <f>'[1]SEP 23'!T31</f>
        <v>21.75</v>
      </c>
      <c r="U28" s="28">
        <f>'[1]SEP 23'!U31</f>
        <v>21.75</v>
      </c>
      <c r="V28" s="28">
        <f>'[1]SEP 23'!V31</f>
        <v>21.75</v>
      </c>
      <c r="W28" s="28">
        <f>'[1]SEP 23'!W31</f>
        <v>21.75</v>
      </c>
      <c r="X28" s="28">
        <f>'[1]SEP 23'!X31</f>
        <v>21.75</v>
      </c>
      <c r="Y28" s="28">
        <f>'[1]SEP 23'!Y31</f>
        <v>21.75</v>
      </c>
      <c r="Z28" s="25">
        <f t="shared" si="0"/>
        <v>21.75</v>
      </c>
      <c r="AA28" s="26">
        <v>23</v>
      </c>
      <c r="AB28" s="27">
        <f t="shared" si="1"/>
        <v>21.75</v>
      </c>
      <c r="AC28" s="27">
        <f t="shared" si="2"/>
        <v>21.75</v>
      </c>
    </row>
    <row r="29" spans="1:29" ht="14.25" customHeight="1" x14ac:dyDescent="0.3">
      <c r="A29" s="23">
        <v>24</v>
      </c>
      <c r="B29" s="28">
        <f>'[1]SEP 24'!B31</f>
        <v>21.75</v>
      </c>
      <c r="C29" s="28">
        <f>'[1]SEP 24'!C31</f>
        <v>21.75</v>
      </c>
      <c r="D29" s="28">
        <f>'[1]SEP 24'!D31</f>
        <v>21.75</v>
      </c>
      <c r="E29" s="28" t="str">
        <f>'[1]SEP 24'!E31</f>
        <v>**</v>
      </c>
      <c r="F29" s="28">
        <f>'[1]SEP 24'!F31</f>
        <v>21.75</v>
      </c>
      <c r="G29" s="28">
        <f>'[1]SEP 24'!G31</f>
        <v>21.75</v>
      </c>
      <c r="H29" s="28">
        <f>'[1]SEP 24'!H31</f>
        <v>21.75</v>
      </c>
      <c r="I29" s="28">
        <f>'[1]SEP 24'!I31</f>
        <v>21.75</v>
      </c>
      <c r="J29" s="28">
        <f>'[1]SEP 24'!J31</f>
        <v>21.75</v>
      </c>
      <c r="K29" s="28">
        <f>'[1]SEP 24'!K31</f>
        <v>21.75</v>
      </c>
      <c r="L29" s="28">
        <f>'[1]SEP 24'!L31</f>
        <v>21.75</v>
      </c>
      <c r="M29" s="28">
        <f>'[1]SEP 24'!M31</f>
        <v>21.75</v>
      </c>
      <c r="N29" s="28">
        <f>'[1]SEP 24'!N31</f>
        <v>21.75</v>
      </c>
      <c r="O29" s="28">
        <f>'[1]SEP 24'!O31</f>
        <v>21.75</v>
      </c>
      <c r="P29" s="28">
        <f>'[1]SEP 24'!P31</f>
        <v>21.75</v>
      </c>
      <c r="Q29" s="28">
        <f>'[1]SEP 24'!Q31</f>
        <v>21.75</v>
      </c>
      <c r="R29" s="28">
        <f>'[1]SEP 24'!R31</f>
        <v>21.75</v>
      </c>
      <c r="S29" s="28">
        <f>'[1]SEP 24'!S31</f>
        <v>21.75</v>
      </c>
      <c r="T29" s="28">
        <f>'[1]SEP 24'!T31</f>
        <v>21.75</v>
      </c>
      <c r="U29" s="28">
        <f>'[1]SEP 24'!U31</f>
        <v>21.75</v>
      </c>
      <c r="V29" s="28">
        <f>'[1]SEP 24'!V31</f>
        <v>21.75</v>
      </c>
      <c r="W29" s="28">
        <f>'[1]SEP 24'!W31</f>
        <v>21.75</v>
      </c>
      <c r="X29" s="28">
        <f>'[1]SEP 24'!X31</f>
        <v>21.75</v>
      </c>
      <c r="Y29" s="28">
        <f>'[1]SEP 24'!Y31</f>
        <v>21.75</v>
      </c>
      <c r="Z29" s="25">
        <f t="shared" si="0"/>
        <v>21.75</v>
      </c>
      <c r="AA29" s="26">
        <v>24</v>
      </c>
      <c r="AB29" s="27">
        <f t="shared" si="1"/>
        <v>21.75</v>
      </c>
      <c r="AC29" s="27">
        <f>MIN(B29:Y29)</f>
        <v>21.75</v>
      </c>
    </row>
    <row r="30" spans="1:29" ht="14.25" customHeight="1" x14ac:dyDescent="0.3">
      <c r="A30" s="23">
        <v>25</v>
      </c>
      <c r="B30" s="28">
        <f>'[1]SEP 25'!B31</f>
        <v>21.75</v>
      </c>
      <c r="C30" s="28">
        <f>'[1]SEP 25'!C31</f>
        <v>21.75</v>
      </c>
      <c r="D30" s="28">
        <f>'[1]SEP 25'!D31</f>
        <v>21.75</v>
      </c>
      <c r="E30" s="28">
        <f>'[1]SEP 25'!E31</f>
        <v>21.75</v>
      </c>
      <c r="F30" s="28">
        <f>'[1]SEP 25'!F31</f>
        <v>21.75</v>
      </c>
      <c r="G30" s="28">
        <f>'[1]SEP 25'!G31</f>
        <v>21.75</v>
      </c>
      <c r="H30" s="28">
        <f>'[1]SEP 25'!H31</f>
        <v>21.75</v>
      </c>
      <c r="I30" s="28">
        <f>'[1]SEP 25'!I31</f>
        <v>21.75</v>
      </c>
      <c r="J30" s="28">
        <f>'[1]SEP 25'!J31</f>
        <v>21.75</v>
      </c>
      <c r="K30" s="28">
        <f>'[1]SEP 25'!K31</f>
        <v>21.75</v>
      </c>
      <c r="L30" s="28">
        <f>'[1]SEP 25'!L31</f>
        <v>21.75</v>
      </c>
      <c r="M30" s="28">
        <f>'[1]SEP 25'!M31</f>
        <v>21.75</v>
      </c>
      <c r="N30" s="28">
        <f>'[1]SEP 25'!N31</f>
        <v>21.75</v>
      </c>
      <c r="O30" s="28">
        <f>'[1]SEP 25'!O31</f>
        <v>21.75</v>
      </c>
      <c r="P30" s="28">
        <f>'[1]SEP 25'!P31</f>
        <v>21.75</v>
      </c>
      <c r="Q30" s="28">
        <f>'[1]SEP 25'!Q31</f>
        <v>21.75</v>
      </c>
      <c r="R30" s="28">
        <f>'[1]SEP 25'!R31</f>
        <v>21.75</v>
      </c>
      <c r="S30" s="28">
        <f>'[1]SEP 25'!S31</f>
        <v>21.75</v>
      </c>
      <c r="T30" s="28">
        <f>'[1]SEP 25'!T31</f>
        <v>21.75</v>
      </c>
      <c r="U30" s="28">
        <f>'[1]SEP 25'!U31</f>
        <v>21.75</v>
      </c>
      <c r="V30" s="28">
        <f>'[1]SEP 25'!V31</f>
        <v>21.75</v>
      </c>
      <c r="W30" s="28">
        <f>'[1]SEP 25'!W31</f>
        <v>21.75</v>
      </c>
      <c r="X30" s="28">
        <f>'[1]SEP 25'!X31</f>
        <v>21.75</v>
      </c>
      <c r="Y30" s="28">
        <f>'[1]SEP 25'!Y31</f>
        <v>21.75</v>
      </c>
      <c r="Z30" s="25">
        <f t="shared" si="0"/>
        <v>21.75</v>
      </c>
      <c r="AA30" s="26">
        <v>25</v>
      </c>
      <c r="AB30" s="27">
        <f t="shared" si="1"/>
        <v>21.75</v>
      </c>
      <c r="AC30" s="27">
        <f t="shared" si="2"/>
        <v>21.75</v>
      </c>
    </row>
    <row r="31" spans="1:29" ht="14.25" customHeight="1" x14ac:dyDescent="0.3">
      <c r="A31" s="23">
        <v>26</v>
      </c>
      <c r="B31" s="28">
        <f>'[1]SEP 26'!B31</f>
        <v>21.75</v>
      </c>
      <c r="C31" s="28">
        <f>'[1]SEP 26'!C31</f>
        <v>21.75</v>
      </c>
      <c r="D31" s="28">
        <f>'[1]SEP 26'!D31</f>
        <v>21.75</v>
      </c>
      <c r="E31" s="28">
        <f>'[1]SEP 26'!E31</f>
        <v>21.75</v>
      </c>
      <c r="F31" s="28">
        <f>'[1]SEP 26'!F31</f>
        <v>21.75</v>
      </c>
      <c r="G31" s="28">
        <f>'[1]SEP 26'!G31</f>
        <v>21.75</v>
      </c>
      <c r="H31" s="28">
        <f>'[1]SEP 26'!H31</f>
        <v>21.75</v>
      </c>
      <c r="I31" s="28">
        <f>'[1]SEP 26'!I31</f>
        <v>21.75</v>
      </c>
      <c r="J31" s="28">
        <f>'[1]SEP 26'!J31</f>
        <v>21.75</v>
      </c>
      <c r="K31" s="28">
        <f>'[1]SEP 26'!K31</f>
        <v>21.75</v>
      </c>
      <c r="L31" s="28">
        <f>'[1]SEP 26'!L31</f>
        <v>21.75</v>
      </c>
      <c r="M31" s="28">
        <f>'[1]SEP 26'!M31</f>
        <v>21.75</v>
      </c>
      <c r="N31" s="28">
        <f>'[1]SEP 26'!N31</f>
        <v>21.75</v>
      </c>
      <c r="O31" s="28">
        <f>'[1]SEP 26'!O31</f>
        <v>21.75</v>
      </c>
      <c r="P31" s="28">
        <f>'[1]SEP 26'!P31</f>
        <v>21.75</v>
      </c>
      <c r="Q31" s="28">
        <f>'[1]SEP 26'!Q31</f>
        <v>21.75</v>
      </c>
      <c r="R31" s="28">
        <f>'[1]SEP 26'!R31</f>
        <v>21.75</v>
      </c>
      <c r="S31" s="28">
        <f>'[1]SEP 26'!S31</f>
        <v>21.75</v>
      </c>
      <c r="T31" s="28">
        <f>'[1]SEP 26'!T31</f>
        <v>21.75</v>
      </c>
      <c r="U31" s="28">
        <f>'[1]SEP 26'!U31</f>
        <v>21.75</v>
      </c>
      <c r="V31" s="28">
        <f>'[1]SEP 26'!V31</f>
        <v>21.75</v>
      </c>
      <c r="W31" s="28">
        <f>'[1]SEP 26'!W31</f>
        <v>21.75</v>
      </c>
      <c r="X31" s="28">
        <f>'[1]SEP 26'!X31</f>
        <v>21.75</v>
      </c>
      <c r="Y31" s="28">
        <f>'[1]SEP 26'!Y31</f>
        <v>21.75</v>
      </c>
      <c r="Z31" s="25">
        <f t="shared" si="0"/>
        <v>21.75</v>
      </c>
      <c r="AA31" s="26">
        <v>26</v>
      </c>
      <c r="AB31" s="27">
        <f t="shared" si="1"/>
        <v>21.75</v>
      </c>
      <c r="AC31" s="27">
        <f>MIN(B31:Y31)</f>
        <v>21.75</v>
      </c>
    </row>
    <row r="32" spans="1:29" ht="14.25" customHeight="1" x14ac:dyDescent="0.3">
      <c r="A32" s="23">
        <v>27</v>
      </c>
      <c r="B32" s="28">
        <f>'[1]SEP 27'!B31</f>
        <v>21.75</v>
      </c>
      <c r="C32" s="28">
        <f>'[1]SEP 27'!C31</f>
        <v>21.75</v>
      </c>
      <c r="D32" s="28">
        <f>'[1]SEP 27'!D31</f>
        <v>21.75</v>
      </c>
      <c r="E32" s="28">
        <f>'[1]SEP 27'!E31</f>
        <v>21.75</v>
      </c>
      <c r="F32" s="28" t="str">
        <f>'[1]SEP 27'!F31</f>
        <v>**</v>
      </c>
      <c r="G32" s="28">
        <f>'[1]SEP 27'!G31</f>
        <v>21.75</v>
      </c>
      <c r="H32" s="28">
        <f>'[1]SEP 27'!H31</f>
        <v>21.75</v>
      </c>
      <c r="I32" s="28">
        <f>'[1]SEP 27'!I31</f>
        <v>21.75</v>
      </c>
      <c r="J32" s="28">
        <f>'[1]SEP 27'!J31</f>
        <v>21.75</v>
      </c>
      <c r="K32" s="28">
        <f>'[1]SEP 27'!K31</f>
        <v>21.75</v>
      </c>
      <c r="L32" s="28">
        <f>'[1]SEP 27'!L31</f>
        <v>21.75</v>
      </c>
      <c r="M32" s="28">
        <f>'[1]SEP 27'!M31</f>
        <v>21.75</v>
      </c>
      <c r="N32" s="28">
        <f>'[1]SEP 27'!N31</f>
        <v>21.75</v>
      </c>
      <c r="O32" s="28">
        <f>'[1]SEP 27'!O31</f>
        <v>21.75</v>
      </c>
      <c r="P32" s="28">
        <f>'[1]SEP 27'!P31</f>
        <v>21.75</v>
      </c>
      <c r="Q32" s="28">
        <f>'[1]SEP 27'!Q31</f>
        <v>21.75</v>
      </c>
      <c r="R32" s="28">
        <f>'[1]SEP 27'!R31</f>
        <v>21.75</v>
      </c>
      <c r="S32" s="28">
        <f>'[1]SEP 27'!S31</f>
        <v>21.75</v>
      </c>
      <c r="T32" s="28">
        <f>'[1]SEP 27'!T31</f>
        <v>21.75</v>
      </c>
      <c r="U32" s="28">
        <f>'[1]SEP 27'!U31</f>
        <v>21.75</v>
      </c>
      <c r="V32" s="28">
        <f>'[1]SEP 27'!V31</f>
        <v>21.75</v>
      </c>
      <c r="W32" s="28">
        <f>'[1]SEP 27'!W31</f>
        <v>21.75</v>
      </c>
      <c r="X32" s="28">
        <f>'[1]SEP 27'!X31</f>
        <v>21.75</v>
      </c>
      <c r="Y32" s="28">
        <f>'[1]SEP 27'!Y31</f>
        <v>21.75</v>
      </c>
      <c r="Z32" s="25">
        <f t="shared" si="0"/>
        <v>21.75</v>
      </c>
      <c r="AA32" s="26">
        <v>27</v>
      </c>
      <c r="AB32" s="27">
        <f t="shared" si="1"/>
        <v>21.75</v>
      </c>
      <c r="AC32" s="27">
        <f t="shared" si="2"/>
        <v>21.75</v>
      </c>
    </row>
    <row r="33" spans="1:29" ht="14.25" customHeight="1" x14ac:dyDescent="0.3">
      <c r="A33" s="23">
        <v>28</v>
      </c>
      <c r="B33" s="28">
        <f>'[1]SEP 28'!B31</f>
        <v>21.75</v>
      </c>
      <c r="C33" s="28">
        <f>'[1]SEP 28'!C31</f>
        <v>21.75</v>
      </c>
      <c r="D33" s="28">
        <f>'[1]SEP 28'!D31</f>
        <v>21.75</v>
      </c>
      <c r="E33" s="28">
        <f>'[1]SEP 28'!E31</f>
        <v>21.75</v>
      </c>
      <c r="F33" s="28">
        <f>'[1]SEP 28'!F31</f>
        <v>21.75</v>
      </c>
      <c r="G33" s="28" t="str">
        <f>'[1]SEP 28'!G31</f>
        <v>**</v>
      </c>
      <c r="H33" s="28">
        <f>'[1]SEP 28'!H31</f>
        <v>21.75</v>
      </c>
      <c r="I33" s="28">
        <f>'[1]SEP 28'!I31</f>
        <v>21.75</v>
      </c>
      <c r="J33" s="28">
        <f>'[1]SEP 28'!J31</f>
        <v>21.75</v>
      </c>
      <c r="K33" s="28">
        <f>'[1]SEP 28'!K31</f>
        <v>21.75</v>
      </c>
      <c r="L33" s="28">
        <f>'[1]SEP 28'!L31</f>
        <v>21.75</v>
      </c>
      <c r="M33" s="28">
        <f>'[1]SEP 28'!M31</f>
        <v>21.75</v>
      </c>
      <c r="N33" s="28">
        <f>'[1]SEP 28'!N31</f>
        <v>21.75</v>
      </c>
      <c r="O33" s="28">
        <f>'[1]SEP 28'!O31</f>
        <v>21.75</v>
      </c>
      <c r="P33" s="28">
        <f>'[1]SEP 28'!P31</f>
        <v>21.75</v>
      </c>
      <c r="Q33" s="28">
        <f>'[1]SEP 28'!Q31</f>
        <v>21.75</v>
      </c>
      <c r="R33" s="28">
        <f>'[1]SEP 28'!R31</f>
        <v>21.74</v>
      </c>
      <c r="S33" s="28">
        <f>'[1]SEP 28'!S31</f>
        <v>21.74</v>
      </c>
      <c r="T33" s="28">
        <f>'[1]SEP 28'!T31</f>
        <v>21.74</v>
      </c>
      <c r="U33" s="28">
        <f>'[1]SEP 28'!U31</f>
        <v>21.74</v>
      </c>
      <c r="V33" s="28">
        <f>'[1]SEP 28'!V31</f>
        <v>21.74</v>
      </c>
      <c r="W33" s="28">
        <f>'[1]SEP 28'!W31</f>
        <v>21.74</v>
      </c>
      <c r="X33" s="28">
        <f>'[1]SEP 28'!X31</f>
        <v>21.74</v>
      </c>
      <c r="Y33" s="28">
        <f>'[1]SEP 28'!Y31</f>
        <v>21.74</v>
      </c>
      <c r="Z33" s="25">
        <f t="shared" si="0"/>
        <v>21.746521739130436</v>
      </c>
      <c r="AA33" s="26">
        <v>28</v>
      </c>
      <c r="AB33" s="27">
        <f t="shared" si="1"/>
        <v>21.75</v>
      </c>
      <c r="AC33" s="27">
        <f t="shared" si="2"/>
        <v>21.74</v>
      </c>
    </row>
    <row r="34" spans="1:29" ht="14.25" customHeight="1" x14ac:dyDescent="0.3">
      <c r="A34" s="23">
        <v>29</v>
      </c>
      <c r="B34" s="28">
        <f>'[1]SEP 29'!B31</f>
        <v>21.74</v>
      </c>
      <c r="C34" s="28">
        <f>'[1]SEP 29'!C31</f>
        <v>21.74</v>
      </c>
      <c r="D34" s="28">
        <f>'[1]SEP 29'!D31</f>
        <v>21.74</v>
      </c>
      <c r="E34" s="28">
        <f>'[1]SEP 29'!E31</f>
        <v>21.74</v>
      </c>
      <c r="F34" s="28">
        <f>'[1]SEP 29'!F31</f>
        <v>21.74</v>
      </c>
      <c r="G34" s="28">
        <f>'[1]SEP 29'!G31</f>
        <v>21.74</v>
      </c>
      <c r="H34" s="28">
        <f>'[1]SEP 29'!H31</f>
        <v>21.74</v>
      </c>
      <c r="I34" s="28">
        <f>'[1]SEP 29'!I31</f>
        <v>21.74</v>
      </c>
      <c r="J34" s="28">
        <f>'[1]SEP 29'!J31</f>
        <v>21.74</v>
      </c>
      <c r="K34" s="28">
        <f>'[1]SEP 29'!K31</f>
        <v>21.74</v>
      </c>
      <c r="L34" s="28">
        <f>'[1]SEP 29'!L31</f>
        <v>21.74</v>
      </c>
      <c r="M34" s="28">
        <f>'[1]SEP 29'!M31</f>
        <v>21.74</v>
      </c>
      <c r="N34" s="28">
        <f>'[1]SEP 29'!N31</f>
        <v>21.74</v>
      </c>
      <c r="O34" s="28">
        <f>'[1]SEP 29'!O31</f>
        <v>21.74</v>
      </c>
      <c r="P34" s="28">
        <f>'[1]SEP 29'!P31</f>
        <v>21.74</v>
      </c>
      <c r="Q34" s="28">
        <f>'[1]SEP 29'!Q31</f>
        <v>21.74</v>
      </c>
      <c r="R34" s="28">
        <f>'[1]SEP 29'!R31</f>
        <v>21.74</v>
      </c>
      <c r="S34" s="28">
        <f>'[1]SEP 29'!S31</f>
        <v>21.74</v>
      </c>
      <c r="T34" s="28">
        <f>'[1]SEP 29'!T31</f>
        <v>21.74</v>
      </c>
      <c r="U34" s="28">
        <f>'[1]SEP 29'!U31</f>
        <v>21.74</v>
      </c>
      <c r="V34" s="28">
        <f>'[1]SEP 29'!V31</f>
        <v>21.74</v>
      </c>
      <c r="W34" s="28">
        <f>'[1]SEP 29'!W31</f>
        <v>21.74</v>
      </c>
      <c r="X34" s="28">
        <f>'[1]SEP 29'!X31</f>
        <v>21.74</v>
      </c>
      <c r="Y34" s="28">
        <f>'[1]SEP 29'!Y31</f>
        <v>21.74</v>
      </c>
      <c r="Z34" s="25">
        <f t="shared" si="0"/>
        <v>21.740000000000006</v>
      </c>
      <c r="AA34" s="26">
        <v>29</v>
      </c>
      <c r="AB34" s="27">
        <f t="shared" si="1"/>
        <v>21.74</v>
      </c>
      <c r="AC34" s="27">
        <f t="shared" si="2"/>
        <v>21.74</v>
      </c>
    </row>
    <row r="35" spans="1:29" ht="14.25" customHeight="1" x14ac:dyDescent="0.3">
      <c r="A35" s="23">
        <v>30</v>
      </c>
      <c r="B35" s="28">
        <f>'[1]SEP 30'!B31</f>
        <v>21.74</v>
      </c>
      <c r="C35" s="28">
        <f>'[1]SEP 30'!C31</f>
        <v>21.74</v>
      </c>
      <c r="D35" s="28" t="str">
        <f>'[1]SEP 30'!D31</f>
        <v>**</v>
      </c>
      <c r="E35" s="28" t="str">
        <f>'[1]SEP 30'!E31</f>
        <v>**</v>
      </c>
      <c r="F35" s="28" t="str">
        <f>'[1]SEP 30'!F31</f>
        <v>**</v>
      </c>
      <c r="G35" s="28" t="str">
        <f>'[1]SEP 30'!G31</f>
        <v>**</v>
      </c>
      <c r="H35" s="28">
        <f>'[1]SEP 30'!H31</f>
        <v>21.74</v>
      </c>
      <c r="I35" s="28">
        <f>'[1]SEP 30'!I31</f>
        <v>21.74</v>
      </c>
      <c r="J35" s="28">
        <f>'[1]SEP 30'!J31</f>
        <v>21.74</v>
      </c>
      <c r="K35" s="28">
        <f>'[1]SEP 30'!K31</f>
        <v>21.74</v>
      </c>
      <c r="L35" s="28">
        <f>'[1]SEP 30'!L31</f>
        <v>21.74</v>
      </c>
      <c r="M35" s="28">
        <f>'[1]SEP 30'!M31</f>
        <v>21.74</v>
      </c>
      <c r="N35" s="28">
        <f>'[1]SEP 30'!N31</f>
        <v>21.74</v>
      </c>
      <c r="O35" s="28">
        <f>'[1]SEP 30'!O31</f>
        <v>21.74</v>
      </c>
      <c r="P35" s="28">
        <f>'[1]SEP 30'!P31</f>
        <v>21.74</v>
      </c>
      <c r="Q35" s="28">
        <f>'[1]SEP 30'!Q31</f>
        <v>21.74</v>
      </c>
      <c r="R35" s="28">
        <f>'[1]SEP 30'!R31</f>
        <v>21.74</v>
      </c>
      <c r="S35" s="28">
        <f>'[1]SEP 30'!S31</f>
        <v>21.74</v>
      </c>
      <c r="T35" s="28">
        <f>'[1]SEP 30'!T31</f>
        <v>21.74</v>
      </c>
      <c r="U35" s="28">
        <f>'[1]SEP 30'!U31</f>
        <v>21.74</v>
      </c>
      <c r="V35" s="28">
        <f>'[1]SEP 30'!V31</f>
        <v>21.74</v>
      </c>
      <c r="W35" s="28">
        <f>'[1]SEP 30'!W31</f>
        <v>21.74</v>
      </c>
      <c r="X35" s="28">
        <f>'[1]SEP 30'!X31</f>
        <v>21.74</v>
      </c>
      <c r="Y35" s="28">
        <f>'[1]SEP 30'!Y31</f>
        <v>21.74</v>
      </c>
      <c r="Z35" s="25">
        <f t="shared" si="0"/>
        <v>21.740000000000006</v>
      </c>
      <c r="AA35" s="26">
        <v>30</v>
      </c>
      <c r="AB35" s="27">
        <f t="shared" si="1"/>
        <v>21.74</v>
      </c>
      <c r="AC35" s="27">
        <f>MIN(B35:Y35)</f>
        <v>21.74</v>
      </c>
    </row>
    <row r="36" spans="1:29" ht="14.25" customHeight="1" x14ac:dyDescent="0.25">
      <c r="A36" s="23" t="s">
        <v>9</v>
      </c>
      <c r="B36" s="28"/>
      <c r="C36" s="28"/>
      <c r="D36" s="28"/>
      <c r="E36" s="28"/>
      <c r="F36" s="28"/>
      <c r="G36" s="28"/>
      <c r="H36" s="28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25" t="e">
        <f>AVERAGE(Z6:Z35)</f>
        <v>#DIV/0!</v>
      </c>
      <c r="AA36" s="17"/>
      <c r="AB36" s="17"/>
      <c r="AC36" s="17"/>
    </row>
    <row r="37" spans="1:29" ht="14.25" customHeight="1" x14ac:dyDescent="0.25">
      <c r="A37" s="23" t="s">
        <v>13</v>
      </c>
      <c r="B37" s="32"/>
      <c r="C37" s="32"/>
      <c r="D37" s="32"/>
      <c r="E37" s="33">
        <f>AVERAGE(E6:E35)</f>
        <v>22.056666666666665</v>
      </c>
      <c r="F37" s="32"/>
      <c r="G37" s="32"/>
      <c r="H37" s="32"/>
      <c r="I37" s="34"/>
      <c r="J37" s="34">
        <f>AVERAGE(J6:J35)</f>
        <v>21.968571428571433</v>
      </c>
      <c r="K37" s="34"/>
      <c r="L37" s="34"/>
      <c r="M37" s="34"/>
      <c r="N37" s="34"/>
      <c r="O37" s="34"/>
      <c r="P37" s="34"/>
      <c r="Q37" s="34"/>
      <c r="R37" s="34"/>
      <c r="S37" s="32"/>
      <c r="T37" s="32"/>
      <c r="U37" s="32"/>
      <c r="V37" s="32"/>
      <c r="W37" s="32"/>
      <c r="X37" s="32"/>
      <c r="Y37" s="33">
        <f>AVERAGE(Y6:Y35)</f>
        <v>21.955833333333334</v>
      </c>
      <c r="Z37" s="25">
        <f>AVERAGE(E37,J37,Y37)</f>
        <v>21.993690476190476</v>
      </c>
      <c r="AA37" s="35" t="s">
        <v>14</v>
      </c>
      <c r="AB37" s="36">
        <f>AVERAGE(AB6:AB35)</f>
        <v>20.032</v>
      </c>
      <c r="AC37" s="36">
        <f>AVERAGE(AC6:AC35)</f>
        <v>19.692</v>
      </c>
    </row>
    <row r="38" spans="1:29" x14ac:dyDescent="0.25">
      <c r="B38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72" orientation="landscape" horizontalDpi="300" verticalDpi="300" r:id="rId1"/>
  <headerFooter alignWithMargins="0"/>
  <colBreaks count="1" manualBreakCount="1">
    <brk id="29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2025-03-10T07:21:42Z</dcterms:created>
  <dcterms:modified xsi:type="dcterms:W3CDTF">2025-03-10T07:21:47Z</dcterms:modified>
</cp:coreProperties>
</file>