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1994 to 2023\2020\Waterlevel\Montalban 2020\"/>
    </mc:Choice>
  </mc:AlternateContent>
  <xr:revisionPtr revIDLastSave="0" documentId="13_ncr:1_{51C360F7-4A3F-4B46-AD4B-97694BA70D66}" xr6:coauthVersionLast="47" xr6:coauthVersionMax="47" xr10:uidLastSave="{00000000-0000-0000-0000-000000000000}"/>
  <bookViews>
    <workbookView xWindow="-120" yWindow="-120" windowWidth="29040" windowHeight="15720" xr2:uid="{37CA0B9E-747E-4986-AD35-D006E1111FF4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6" i="1" l="1"/>
  <c r="I36" i="1"/>
  <c r="H36" i="1"/>
  <c r="G36" i="1"/>
  <c r="F36" i="1"/>
  <c r="E36" i="1"/>
  <c r="D36" i="1"/>
  <c r="C36" i="1"/>
  <c r="B36" i="1"/>
  <c r="R35" i="1"/>
  <c r="Q35" i="1"/>
  <c r="P35" i="1"/>
  <c r="O35" i="1"/>
  <c r="N35" i="1"/>
  <c r="M35" i="1"/>
  <c r="L35" i="1"/>
  <c r="K35" i="1"/>
  <c r="J35" i="1"/>
  <c r="I35" i="1"/>
  <c r="H35" i="1"/>
  <c r="G35" i="1"/>
  <c r="E35" i="1"/>
  <c r="C35" i="1"/>
  <c r="B35" i="1"/>
  <c r="E34" i="1"/>
  <c r="C34" i="1"/>
  <c r="B34" i="1"/>
  <c r="Z34" i="1" s="1"/>
  <c r="I33" i="1"/>
  <c r="H33" i="1"/>
  <c r="G33" i="1"/>
  <c r="F33" i="1"/>
  <c r="J32" i="1"/>
  <c r="I32" i="1"/>
  <c r="H32" i="1"/>
  <c r="G32" i="1"/>
  <c r="F32" i="1"/>
  <c r="E32" i="1"/>
  <c r="D32" i="1"/>
  <c r="C32" i="1"/>
  <c r="B32" i="1"/>
  <c r="J30" i="1"/>
  <c r="I30" i="1"/>
  <c r="H30" i="1"/>
  <c r="G30" i="1"/>
  <c r="F30" i="1"/>
  <c r="E30" i="1"/>
  <c r="D30" i="1"/>
  <c r="C30" i="1"/>
  <c r="B30" i="1"/>
  <c r="AC30" i="1" s="1"/>
  <c r="AC29" i="1"/>
  <c r="J28" i="1"/>
  <c r="I28" i="1"/>
  <c r="H28" i="1"/>
  <c r="G28" i="1"/>
  <c r="F28" i="1"/>
  <c r="E28" i="1"/>
  <c r="D28" i="1"/>
  <c r="C28" i="1"/>
  <c r="B28" i="1"/>
  <c r="AB28" i="1" s="1"/>
  <c r="J27" i="1"/>
  <c r="I27" i="1"/>
  <c r="H27" i="1"/>
  <c r="G27" i="1"/>
  <c r="F27" i="1"/>
  <c r="E27" i="1"/>
  <c r="D27" i="1"/>
  <c r="C27" i="1"/>
  <c r="B27" i="1"/>
  <c r="Z27" i="1" s="1"/>
  <c r="AC25" i="1"/>
  <c r="AB24" i="1"/>
  <c r="Z23" i="1"/>
  <c r="K22" i="1"/>
  <c r="J22" i="1"/>
  <c r="I22" i="1"/>
  <c r="H22" i="1"/>
  <c r="G22" i="1"/>
  <c r="F22" i="1"/>
  <c r="E22" i="1"/>
  <c r="D22" i="1"/>
  <c r="C22" i="1"/>
  <c r="B22" i="1"/>
  <c r="AC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B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Z19" i="1" s="1"/>
  <c r="J18" i="1"/>
  <c r="I18" i="1"/>
  <c r="H18" i="1"/>
  <c r="G18" i="1"/>
  <c r="F18" i="1"/>
  <c r="E18" i="1"/>
  <c r="D18" i="1"/>
  <c r="C18" i="1"/>
  <c r="B18" i="1"/>
  <c r="AC18" i="1" s="1"/>
  <c r="AC17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B16" i="1" s="1"/>
  <c r="Z15" i="1"/>
  <c r="J14" i="1"/>
  <c r="I14" i="1"/>
  <c r="H14" i="1"/>
  <c r="G14" i="1"/>
  <c r="F14" i="1"/>
  <c r="E14" i="1"/>
  <c r="D14" i="1"/>
  <c r="C14" i="1"/>
  <c r="B14" i="1"/>
  <c r="Z14" i="1" s="1"/>
  <c r="I13" i="1"/>
  <c r="H13" i="1"/>
  <c r="G13" i="1"/>
  <c r="F13" i="1"/>
  <c r="E13" i="1"/>
  <c r="D13" i="1"/>
  <c r="C13" i="1"/>
  <c r="B13" i="1"/>
  <c r="AC13" i="1" s="1"/>
  <c r="AB12" i="1"/>
  <c r="Z11" i="1"/>
  <c r="J10" i="1"/>
  <c r="I10" i="1"/>
  <c r="H10" i="1"/>
  <c r="G10" i="1"/>
  <c r="F10" i="1"/>
  <c r="E10" i="1"/>
  <c r="D10" i="1"/>
  <c r="C10" i="1"/>
  <c r="B10" i="1"/>
  <c r="AC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AB8" i="1"/>
  <c r="Z7" i="1"/>
  <c r="J38" i="1"/>
  <c r="E38" i="1"/>
  <c r="AC6" i="1"/>
  <c r="AB32" i="1" l="1"/>
  <c r="AB7" i="1"/>
  <c r="AC11" i="1"/>
  <c r="AC15" i="1"/>
  <c r="AB19" i="1"/>
  <c r="AB23" i="1"/>
  <c r="AC27" i="1"/>
  <c r="AB31" i="1"/>
  <c r="AC35" i="1"/>
  <c r="Z31" i="1"/>
  <c r="AC33" i="1"/>
  <c r="AC12" i="1"/>
  <c r="AC16" i="1"/>
  <c r="AC20" i="1"/>
  <c r="AC24" i="1"/>
  <c r="AC28" i="1"/>
  <c r="AC32" i="1"/>
  <c r="AC36" i="1"/>
  <c r="AC26" i="1"/>
  <c r="AB36" i="1"/>
  <c r="Z35" i="1"/>
  <c r="AC8" i="1"/>
  <c r="Y38" i="1"/>
  <c r="Z38" i="1" s="1"/>
  <c r="Z10" i="1"/>
  <c r="AB11" i="1"/>
  <c r="AB15" i="1"/>
  <c r="Z22" i="1"/>
  <c r="AB27" i="1"/>
  <c r="Z30" i="1"/>
  <c r="AB35" i="1"/>
  <c r="AB6" i="1"/>
  <c r="AC7" i="1"/>
  <c r="Z9" i="1"/>
  <c r="AB10" i="1"/>
  <c r="Z13" i="1"/>
  <c r="AB14" i="1"/>
  <c r="Z17" i="1"/>
  <c r="AB18" i="1"/>
  <c r="AC19" i="1"/>
  <c r="Z21" i="1"/>
  <c r="AB22" i="1"/>
  <c r="AC23" i="1"/>
  <c r="Z25" i="1"/>
  <c r="AB26" i="1"/>
  <c r="Z29" i="1"/>
  <c r="AB30" i="1"/>
  <c r="AC31" i="1"/>
  <c r="Z33" i="1"/>
  <c r="AB34" i="1"/>
  <c r="Z6" i="1"/>
  <c r="Z18" i="1"/>
  <c r="Z26" i="1"/>
  <c r="Z8" i="1"/>
  <c r="AB9" i="1"/>
  <c r="Z12" i="1"/>
  <c r="AB13" i="1"/>
  <c r="AC14" i="1"/>
  <c r="Z16" i="1"/>
  <c r="AB17" i="1"/>
  <c r="Z20" i="1"/>
  <c r="AB21" i="1"/>
  <c r="Z24" i="1"/>
  <c r="AB25" i="1"/>
  <c r="Z28" i="1"/>
  <c r="AB29" i="1"/>
  <c r="Z32" i="1"/>
  <c r="AB33" i="1"/>
  <c r="AC34" i="1"/>
  <c r="Z36" i="1"/>
  <c r="AC38" i="1" l="1"/>
  <c r="AB38" i="1"/>
  <c r="Z37" i="1"/>
</calcChain>
</file>

<file path=xl/sharedStrings.xml><?xml version="1.0" encoding="utf-8"?>
<sst xmlns="http://schemas.openxmlformats.org/spreadsheetml/2006/main" count="525" uniqueCount="17">
  <si>
    <t>FORM 2-1  HOURLY  WATERLEVEL CHART</t>
  </si>
  <si>
    <t>RECORDED DAILY HIGHEST AND LOWEST WATER ELEVATION</t>
  </si>
  <si>
    <t>MAY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</si>
  <si>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</si>
  <si>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</si>
  <si>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</si>
  <si>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</si>
  <si>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</si>
  <si>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MAY 1-31, 2020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</si>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</sst>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</cellXfs>
  <cellStyles count="3">
    <cellStyle name="Comma 2" xfId="2" xr:uid="{F696913D-D3AF-47F3-ABC0-6A2BD5AF18D6}"/>
    <cellStyle name="Normal" xfId="0" builtinId="0"/>
    <cellStyle name="Normal 2" xfId="1" xr:uid="{067A2DBD-F598-4391-A41E-02E6713658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20.79</c:v>
                </c:pt>
                <c:pt idx="4">
                  <c:v>20.79</c:v>
                </c:pt>
                <c:pt idx="5">
                  <c:v>0</c:v>
                </c:pt>
                <c:pt idx="6">
                  <c:v>0</c:v>
                </c:pt>
                <c:pt idx="7">
                  <c:v>20.79</c:v>
                </c:pt>
                <c:pt idx="8">
                  <c:v>20.79</c:v>
                </c:pt>
                <c:pt idx="9">
                  <c:v>0</c:v>
                </c:pt>
                <c:pt idx="10">
                  <c:v>20.79</c:v>
                </c:pt>
                <c:pt idx="11">
                  <c:v>20.79</c:v>
                </c:pt>
                <c:pt idx="12">
                  <c:v>20.79</c:v>
                </c:pt>
                <c:pt idx="13">
                  <c:v>20.79</c:v>
                </c:pt>
                <c:pt idx="14">
                  <c:v>22.66</c:v>
                </c:pt>
                <c:pt idx="15">
                  <c:v>21.7</c:v>
                </c:pt>
                <c:pt idx="16">
                  <c:v>20.88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20.85</c:v>
                </c:pt>
                <c:pt idx="22">
                  <c:v>20.85</c:v>
                </c:pt>
                <c:pt idx="23">
                  <c:v>0</c:v>
                </c:pt>
                <c:pt idx="24">
                  <c:v>20.85</c:v>
                </c:pt>
                <c:pt idx="25">
                  <c:v>0</c:v>
                </c:pt>
                <c:pt idx="26">
                  <c:v>20.85</c:v>
                </c:pt>
                <c:pt idx="27">
                  <c:v>20.85</c:v>
                </c:pt>
                <c:pt idx="28">
                  <c:v>20.85</c:v>
                </c:pt>
                <c:pt idx="29">
                  <c:v>20.86</c:v>
                </c:pt>
                <c:pt idx="30">
                  <c:v>20.85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D9-4F4E-8BFC-67366C8614F8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20.79</c:v>
                </c:pt>
                <c:pt idx="4">
                  <c:v>20.79</c:v>
                </c:pt>
                <c:pt idx="5">
                  <c:v>0</c:v>
                </c:pt>
                <c:pt idx="6">
                  <c:v>0</c:v>
                </c:pt>
                <c:pt idx="7">
                  <c:v>20.79</c:v>
                </c:pt>
                <c:pt idx="8">
                  <c:v>20.79</c:v>
                </c:pt>
                <c:pt idx="9">
                  <c:v>0</c:v>
                </c:pt>
                <c:pt idx="10">
                  <c:v>20.79</c:v>
                </c:pt>
                <c:pt idx="11">
                  <c:v>20.79</c:v>
                </c:pt>
                <c:pt idx="12">
                  <c:v>20.79</c:v>
                </c:pt>
                <c:pt idx="13">
                  <c:v>20.79</c:v>
                </c:pt>
                <c:pt idx="14">
                  <c:v>20.79</c:v>
                </c:pt>
                <c:pt idx="15">
                  <c:v>20.88</c:v>
                </c:pt>
                <c:pt idx="16">
                  <c:v>20.87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20.85</c:v>
                </c:pt>
                <c:pt idx="22">
                  <c:v>20.85</c:v>
                </c:pt>
                <c:pt idx="23">
                  <c:v>0</c:v>
                </c:pt>
                <c:pt idx="24">
                  <c:v>20.85</c:v>
                </c:pt>
                <c:pt idx="25">
                  <c:v>0</c:v>
                </c:pt>
                <c:pt idx="26">
                  <c:v>20.85</c:v>
                </c:pt>
                <c:pt idx="27">
                  <c:v>20.85</c:v>
                </c:pt>
                <c:pt idx="28">
                  <c:v>20.85</c:v>
                </c:pt>
                <c:pt idx="29">
                  <c:v>20.85</c:v>
                </c:pt>
                <c:pt idx="30">
                  <c:v>20.85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D9-4F4E-8BFC-67366C861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443760"/>
        <c:axId val="209444320"/>
      </c:barChart>
      <c:catAx>
        <c:axId val="20944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44320"/>
        <c:crosses val="autoZero"/>
        <c:auto val="1"/>
        <c:lblAlgn val="ctr"/>
        <c:lblOffset val="100"/>
        <c:noMultiLvlLbl val="0"/>
      </c:catAx>
      <c:valAx>
        <c:axId val="20944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43760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74BA19DC-06D6-4BF2-96B4-902F262D5D1C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8EC545FC-973D-42C0-AF68-31E53A0B159A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712FC05C-0774-46C7-8F80-20C93735AA44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A8D9E28-2B4A-4916-A3F4-1CF7EF988F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E8652FA-6029-4536-AAE8-4135FCDABD14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F97D341-DBC4-419C-BA90-431ADE684039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1.%20Rainfall%20and%20Waterlevel%20Data%20Sheet/Sorted%20Hydrological%20Data%20of%20Stations%20as%20of%20JAN%202023/2020/5.MAY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1"/>
      <sheetName val="May.2"/>
      <sheetName val="May.3"/>
      <sheetName val="May.4"/>
      <sheetName val="May.5"/>
      <sheetName val="MAY.6"/>
      <sheetName val="May.7"/>
      <sheetName val="May.8"/>
      <sheetName val="May.9"/>
      <sheetName val="May.10"/>
      <sheetName val="May.11"/>
      <sheetName val="May.12"/>
      <sheetName val="May.13"/>
      <sheetName val="May.14"/>
      <sheetName val="May 15"/>
      <sheetName val="May 16"/>
      <sheetName val="May17"/>
      <sheetName val="May18"/>
      <sheetName val="May19"/>
      <sheetName val="May20"/>
      <sheetName val="May21"/>
      <sheetName val="May22"/>
      <sheetName val="May23"/>
      <sheetName val="May24"/>
      <sheetName val="May.25"/>
      <sheetName val="May.26"/>
      <sheetName val="May.27"/>
      <sheetName val="May.28"/>
      <sheetName val="May.29"/>
      <sheetName val="May.30"/>
      <sheetName val="May.31"/>
      <sheetName val="Sheet2"/>
      <sheetName val="MT. CAMPANA"/>
      <sheetName val="Sheet3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20.79</v>
          </cell>
          <cell r="C20">
            <v>20.79</v>
          </cell>
          <cell r="D20">
            <v>20.79</v>
          </cell>
          <cell r="E20">
            <v>20.79</v>
          </cell>
          <cell r="F20">
            <v>20.79</v>
          </cell>
          <cell r="G20">
            <v>20.79</v>
          </cell>
          <cell r="H20">
            <v>20.79</v>
          </cell>
          <cell r="I20">
            <v>20.79</v>
          </cell>
          <cell r="J20">
            <v>20.79</v>
          </cell>
          <cell r="K20">
            <v>20.79</v>
          </cell>
          <cell r="L20">
            <v>20.79</v>
          </cell>
          <cell r="M20">
            <v>20.79</v>
          </cell>
          <cell r="N20">
            <v>20.79</v>
          </cell>
          <cell r="O20">
            <v>20.79</v>
          </cell>
          <cell r="P20">
            <v>20.79</v>
          </cell>
          <cell r="Q20">
            <v>20.79</v>
          </cell>
          <cell r="R20">
            <v>20.79</v>
          </cell>
          <cell r="S20">
            <v>20.79</v>
          </cell>
          <cell r="T20">
            <v>20.79</v>
          </cell>
          <cell r="U20">
            <v>20.79</v>
          </cell>
          <cell r="V20">
            <v>20.79</v>
          </cell>
          <cell r="W20">
            <v>20.79</v>
          </cell>
          <cell r="X20">
            <v>20.79</v>
          </cell>
          <cell r="Y20">
            <v>20.79</v>
          </cell>
          <cell r="AD20">
            <v>20.79</v>
          </cell>
          <cell r="AE20">
            <v>20.79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12.01</v>
          </cell>
          <cell r="C22">
            <v>12.01</v>
          </cell>
          <cell r="D22">
            <v>12.01</v>
          </cell>
          <cell r="E22">
            <v>12.01</v>
          </cell>
          <cell r="F22">
            <v>12.01</v>
          </cell>
          <cell r="G22">
            <v>12.01</v>
          </cell>
          <cell r="H22">
            <v>12.01</v>
          </cell>
          <cell r="I22">
            <v>12.01</v>
          </cell>
          <cell r="J22">
            <v>12.01</v>
          </cell>
          <cell r="K22">
            <v>12.01</v>
          </cell>
          <cell r="L22">
            <v>12.01</v>
          </cell>
          <cell r="M22">
            <v>12.01</v>
          </cell>
          <cell r="N22">
            <v>12.01</v>
          </cell>
          <cell r="O22">
            <v>12.01</v>
          </cell>
          <cell r="P22">
            <v>12.01</v>
          </cell>
          <cell r="Q22">
            <v>12.01</v>
          </cell>
          <cell r="R22">
            <v>12.01</v>
          </cell>
          <cell r="S22">
            <v>12.01</v>
          </cell>
          <cell r="T22">
            <v>12.01</v>
          </cell>
          <cell r="U22">
            <v>12.01</v>
          </cell>
          <cell r="V22">
            <v>12.01</v>
          </cell>
          <cell r="W22">
            <v>12.01</v>
          </cell>
          <cell r="X22">
            <v>12.01</v>
          </cell>
          <cell r="Y22">
            <v>12.01</v>
          </cell>
          <cell r="AD22">
            <v>12.01</v>
          </cell>
          <cell r="AE22">
            <v>12.01</v>
          </cell>
        </row>
        <row r="23">
          <cell r="B23">
            <v>10.34</v>
          </cell>
          <cell r="C23">
            <v>10.32</v>
          </cell>
          <cell r="D23">
            <v>10.32</v>
          </cell>
          <cell r="E23">
            <v>10.27</v>
          </cell>
          <cell r="F23">
            <v>10.220000000000001</v>
          </cell>
          <cell r="G23">
            <v>10.199999999999999</v>
          </cell>
          <cell r="H23">
            <v>10.19</v>
          </cell>
          <cell r="I23">
            <v>10.210000000000001</v>
          </cell>
          <cell r="AD23">
            <v>10.34</v>
          </cell>
          <cell r="AE23">
            <v>10.19</v>
          </cell>
        </row>
        <row r="24">
          <cell r="B24">
            <v>10.48</v>
          </cell>
          <cell r="C24">
            <v>10.48</v>
          </cell>
          <cell r="D24">
            <v>10.48</v>
          </cell>
          <cell r="E24">
            <v>10.48</v>
          </cell>
          <cell r="F24">
            <v>10.48</v>
          </cell>
          <cell r="G24">
            <v>10.46</v>
          </cell>
          <cell r="H24">
            <v>10.45</v>
          </cell>
          <cell r="I24">
            <v>10.44</v>
          </cell>
          <cell r="AD24">
            <v>10.48</v>
          </cell>
          <cell r="AE24">
            <v>10.44</v>
          </cell>
        </row>
        <row r="25">
          <cell r="B25" t="str">
            <v>**.**</v>
          </cell>
          <cell r="C25" t="str">
            <v>**.**</v>
          </cell>
          <cell r="D25" t="str">
            <v>**.**</v>
          </cell>
          <cell r="E25" t="str">
            <v>**.**</v>
          </cell>
          <cell r="F25" t="str">
            <v>**.**</v>
          </cell>
          <cell r="G25" t="str">
            <v>**.**</v>
          </cell>
          <cell r="H25" t="str">
            <v>**.**</v>
          </cell>
          <cell r="I25" t="str">
            <v>**.**</v>
          </cell>
          <cell r="J25" t="str">
            <v>**.**</v>
          </cell>
          <cell r="K25" t="str">
            <v>**.**</v>
          </cell>
          <cell r="L25" t="str">
            <v>**.**</v>
          </cell>
          <cell r="M25" t="str">
            <v>**.**</v>
          </cell>
          <cell r="N25" t="str">
            <v>**.**</v>
          </cell>
          <cell r="O25" t="str">
            <v>**.**</v>
          </cell>
          <cell r="P25" t="str">
            <v>**.**</v>
          </cell>
          <cell r="Q25" t="str">
            <v>**.**</v>
          </cell>
          <cell r="R25" t="str">
            <v>**.**</v>
          </cell>
          <cell r="S25" t="str">
            <v>**.**</v>
          </cell>
          <cell r="T25" t="str">
            <v>**.**</v>
          </cell>
          <cell r="U25" t="str">
            <v>**.**</v>
          </cell>
          <cell r="V25" t="str">
            <v>**.**</v>
          </cell>
          <cell r="W25" t="str">
            <v>**.**</v>
          </cell>
          <cell r="X25" t="str">
            <v>**.**</v>
          </cell>
          <cell r="Y25" t="str">
            <v>**.**</v>
          </cell>
          <cell r="AD25">
            <v>0</v>
          </cell>
          <cell r="AE25">
            <v>0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 t="str">
            <v>**.**</v>
          </cell>
          <cell r="C27">
            <v>10.84</v>
          </cell>
          <cell r="D27" t="str">
            <v>**.**</v>
          </cell>
          <cell r="E27" t="str">
            <v>**.**</v>
          </cell>
          <cell r="F27" t="str">
            <v>**.**</v>
          </cell>
          <cell r="G27" t="str">
            <v>**.**</v>
          </cell>
          <cell r="H27">
            <v>10.82</v>
          </cell>
          <cell r="I27" t="str">
            <v>**.**</v>
          </cell>
          <cell r="AD27">
            <v>10.84</v>
          </cell>
          <cell r="AE27">
            <v>10.82</v>
          </cell>
        </row>
        <row r="28">
          <cell r="B28">
            <v>10.9</v>
          </cell>
          <cell r="C28">
            <v>10.89</v>
          </cell>
          <cell r="D28">
            <v>10.86</v>
          </cell>
          <cell r="E28">
            <v>10.83</v>
          </cell>
          <cell r="F28">
            <v>10.8</v>
          </cell>
          <cell r="G28">
            <v>10.83</v>
          </cell>
          <cell r="H28">
            <v>10.87</v>
          </cell>
          <cell r="I28">
            <v>10.95</v>
          </cell>
          <cell r="AD28">
            <v>10.95</v>
          </cell>
          <cell r="AE28">
            <v>10.8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 t="str">
            <v>**.**</v>
          </cell>
          <cell r="C30" t="str">
            <v>**.**</v>
          </cell>
          <cell r="D30" t="str">
            <v>**.**</v>
          </cell>
          <cell r="E30" t="str">
            <v>**.**</v>
          </cell>
          <cell r="F30" t="str">
            <v>**.**</v>
          </cell>
          <cell r="G30" t="str">
            <v>**.**</v>
          </cell>
          <cell r="H30" t="str">
            <v>**.**</v>
          </cell>
          <cell r="I30" t="str">
            <v>**.**</v>
          </cell>
          <cell r="J30" t="str">
            <v>**.**</v>
          </cell>
          <cell r="K30" t="str">
            <v>**.**</v>
          </cell>
          <cell r="L30" t="str">
            <v>**.**</v>
          </cell>
          <cell r="M30" t="str">
            <v>**.**</v>
          </cell>
          <cell r="N30" t="str">
            <v>**.**</v>
          </cell>
          <cell r="O30" t="str">
            <v>**.**</v>
          </cell>
          <cell r="P30" t="str">
            <v>**.**</v>
          </cell>
          <cell r="Q30" t="str">
            <v>**.**</v>
          </cell>
          <cell r="R30" t="str">
            <v>**.**</v>
          </cell>
          <cell r="S30" t="str">
            <v>**.**</v>
          </cell>
          <cell r="T30" t="str">
            <v>**.**</v>
          </cell>
          <cell r="U30" t="str">
            <v>**.**</v>
          </cell>
          <cell r="V30" t="str">
            <v>**.**</v>
          </cell>
          <cell r="W30" t="str">
            <v>**.**</v>
          </cell>
          <cell r="X30" t="str">
            <v>**.**</v>
          </cell>
          <cell r="Y30" t="str">
            <v>**.**</v>
          </cell>
          <cell r="AD30">
            <v>0</v>
          </cell>
          <cell r="AE30">
            <v>0</v>
          </cell>
        </row>
      </sheetData>
      <sheetData sheetId="4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20.79</v>
          </cell>
          <cell r="C20">
            <v>20.79</v>
          </cell>
          <cell r="D20">
            <v>20.79</v>
          </cell>
          <cell r="E20">
            <v>20.79</v>
          </cell>
          <cell r="F20">
            <v>20.79</v>
          </cell>
          <cell r="G20">
            <v>20.79</v>
          </cell>
          <cell r="H20">
            <v>20.79</v>
          </cell>
          <cell r="I20">
            <v>20.79</v>
          </cell>
          <cell r="J20">
            <v>20.79</v>
          </cell>
          <cell r="AD20">
            <v>20.79</v>
          </cell>
          <cell r="AE20">
            <v>20.79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AD21">
            <v>15.8</v>
          </cell>
          <cell r="AE21">
            <v>15.8</v>
          </cell>
        </row>
        <row r="22">
          <cell r="B22">
            <v>12.01</v>
          </cell>
          <cell r="C22">
            <v>12.01</v>
          </cell>
          <cell r="D22">
            <v>12.01</v>
          </cell>
          <cell r="E22">
            <v>12.01</v>
          </cell>
          <cell r="F22">
            <v>12.01</v>
          </cell>
          <cell r="G22">
            <v>12.01</v>
          </cell>
          <cell r="H22">
            <v>12.01</v>
          </cell>
          <cell r="I22">
            <v>12.01</v>
          </cell>
          <cell r="J22">
            <v>12.01</v>
          </cell>
          <cell r="AD22">
            <v>12.01</v>
          </cell>
          <cell r="AE22">
            <v>12.01</v>
          </cell>
        </row>
        <row r="23">
          <cell r="B23">
            <v>10.33</v>
          </cell>
          <cell r="C23">
            <v>10.31</v>
          </cell>
          <cell r="D23">
            <v>10.28</v>
          </cell>
          <cell r="E23">
            <v>10.23</v>
          </cell>
          <cell r="F23">
            <v>10.14</v>
          </cell>
          <cell r="G23">
            <v>10.07</v>
          </cell>
          <cell r="H23">
            <v>10.07</v>
          </cell>
          <cell r="I23">
            <v>10.08</v>
          </cell>
          <cell r="AD23">
            <v>10.33</v>
          </cell>
          <cell r="AE23">
            <v>10.07</v>
          </cell>
        </row>
        <row r="24">
          <cell r="B24">
            <v>10.46</v>
          </cell>
          <cell r="C24">
            <v>10.48</v>
          </cell>
          <cell r="D24">
            <v>10.48</v>
          </cell>
          <cell r="E24">
            <v>10.47</v>
          </cell>
          <cell r="F24">
            <v>10.46</v>
          </cell>
          <cell r="G24">
            <v>10.44</v>
          </cell>
          <cell r="H24">
            <v>10.43</v>
          </cell>
          <cell r="I24">
            <v>10.42</v>
          </cell>
          <cell r="AD24">
            <v>10.48</v>
          </cell>
          <cell r="AE24">
            <v>10.42</v>
          </cell>
        </row>
        <row r="25">
          <cell r="B25" t="str">
            <v>**.**</v>
          </cell>
          <cell r="C25" t="str">
            <v>**.**</v>
          </cell>
          <cell r="D25" t="str">
            <v>**.**</v>
          </cell>
          <cell r="E25" t="str">
            <v>**.**</v>
          </cell>
          <cell r="F25" t="str">
            <v>**.**</v>
          </cell>
          <cell r="G25" t="str">
            <v>**.**</v>
          </cell>
          <cell r="H25" t="str">
            <v>**.**</v>
          </cell>
          <cell r="I25" t="str">
            <v>**.**</v>
          </cell>
          <cell r="J25" t="str">
            <v>**.**</v>
          </cell>
          <cell r="K25" t="str">
            <v>**.**</v>
          </cell>
          <cell r="L25" t="str">
            <v>**.**</v>
          </cell>
          <cell r="M25" t="str">
            <v>**.**</v>
          </cell>
          <cell r="N25" t="str">
            <v>**.**</v>
          </cell>
          <cell r="O25" t="str">
            <v>**.**</v>
          </cell>
          <cell r="P25" t="str">
            <v>**.**</v>
          </cell>
          <cell r="Q25" t="str">
            <v>**.**</v>
          </cell>
          <cell r="R25" t="str">
            <v>**.**</v>
          </cell>
          <cell r="S25" t="str">
            <v>**.**</v>
          </cell>
          <cell r="T25" t="str">
            <v>**.**</v>
          </cell>
          <cell r="U25" t="str">
            <v>**.**</v>
          </cell>
          <cell r="V25" t="str">
            <v>**.**</v>
          </cell>
          <cell r="W25" t="str">
            <v>**.**</v>
          </cell>
          <cell r="X25" t="str">
            <v>**.**</v>
          </cell>
          <cell r="Y25" t="str">
            <v>**.**</v>
          </cell>
          <cell r="AD25">
            <v>0</v>
          </cell>
          <cell r="AE25">
            <v>0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 t="str">
            <v>**.**</v>
          </cell>
          <cell r="C27" t="str">
            <v>**.**10.84</v>
          </cell>
          <cell r="D27">
            <v>10.74</v>
          </cell>
          <cell r="E27">
            <v>10.66</v>
          </cell>
          <cell r="F27" t="str">
            <v>**.**</v>
          </cell>
          <cell r="G27">
            <v>10.64</v>
          </cell>
          <cell r="H27">
            <v>10.64</v>
          </cell>
          <cell r="I27">
            <v>10.66</v>
          </cell>
          <cell r="AD27">
            <v>10.74</v>
          </cell>
          <cell r="AE27">
            <v>10.64</v>
          </cell>
        </row>
        <row r="28">
          <cell r="B28">
            <v>10.97</v>
          </cell>
          <cell r="C28">
            <v>10.97</v>
          </cell>
          <cell r="D28">
            <v>10.89</v>
          </cell>
          <cell r="E28">
            <v>10.79</v>
          </cell>
          <cell r="F28">
            <v>10.71</v>
          </cell>
          <cell r="G28">
            <v>10.7</v>
          </cell>
          <cell r="H28">
            <v>10.7</v>
          </cell>
          <cell r="I28">
            <v>10.72</v>
          </cell>
          <cell r="AD28">
            <v>10.97</v>
          </cell>
          <cell r="AE28">
            <v>10.7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 t="str">
            <v>**.**</v>
          </cell>
          <cell r="C30" t="str">
            <v>**.**</v>
          </cell>
          <cell r="D30" t="str">
            <v>**.**</v>
          </cell>
          <cell r="E30" t="str">
            <v>**.**</v>
          </cell>
          <cell r="F30" t="str">
            <v>**.**</v>
          </cell>
          <cell r="G30" t="str">
            <v>**.**</v>
          </cell>
          <cell r="H30" t="str">
            <v>**.**</v>
          </cell>
          <cell r="I30" t="str">
            <v>**.**</v>
          </cell>
          <cell r="J30" t="str">
            <v>**.**</v>
          </cell>
          <cell r="K30" t="str">
            <v>**.**</v>
          </cell>
          <cell r="L30" t="str">
            <v>**.**</v>
          </cell>
          <cell r="M30" t="str">
            <v>**.**</v>
          </cell>
          <cell r="N30" t="str">
            <v>**.**</v>
          </cell>
          <cell r="O30" t="str">
            <v>**.**</v>
          </cell>
          <cell r="P30" t="str">
            <v>**.**</v>
          </cell>
          <cell r="Q30" t="str">
            <v>**.**</v>
          </cell>
          <cell r="R30" t="str">
            <v>**.**</v>
          </cell>
          <cell r="S30" t="str">
            <v>**.**</v>
          </cell>
          <cell r="T30" t="str">
            <v>**.**</v>
          </cell>
          <cell r="U30" t="str">
            <v>**.**</v>
          </cell>
          <cell r="V30" t="str">
            <v>**.**</v>
          </cell>
          <cell r="W30" t="str">
            <v>**.**</v>
          </cell>
          <cell r="X30" t="str">
            <v>**.**</v>
          </cell>
          <cell r="Y30" t="str">
            <v>**.**</v>
          </cell>
          <cell r="AD30">
            <v>0</v>
          </cell>
          <cell r="AE30">
            <v>0</v>
          </cell>
        </row>
      </sheetData>
      <sheetData sheetId="5" refreshError="1"/>
      <sheetData sheetId="6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20.79</v>
          </cell>
          <cell r="C20">
            <v>20.79</v>
          </cell>
          <cell r="D20">
            <v>20.79</v>
          </cell>
          <cell r="E20">
            <v>20.79</v>
          </cell>
          <cell r="F20">
            <v>20.79</v>
          </cell>
          <cell r="G20" t="str">
            <v>**.**</v>
          </cell>
          <cell r="H20" t="str">
            <v>**.**</v>
          </cell>
          <cell r="I20" t="str">
            <v>**.**</v>
          </cell>
          <cell r="AD20">
            <v>20.79</v>
          </cell>
          <cell r="AE20">
            <v>20.79</v>
          </cell>
        </row>
        <row r="21">
          <cell r="B21">
            <v>15.79</v>
          </cell>
          <cell r="C21">
            <v>15.79</v>
          </cell>
          <cell r="D21">
            <v>15.79</v>
          </cell>
          <cell r="E21">
            <v>15.79</v>
          </cell>
          <cell r="F21">
            <v>15.79</v>
          </cell>
          <cell r="G21">
            <v>15.79</v>
          </cell>
          <cell r="H21">
            <v>15.79</v>
          </cell>
          <cell r="I21">
            <v>15.79</v>
          </cell>
          <cell r="AD21">
            <v>15.79</v>
          </cell>
          <cell r="AE21">
            <v>15.79</v>
          </cell>
        </row>
        <row r="22">
          <cell r="B22">
            <v>12.01</v>
          </cell>
          <cell r="C22">
            <v>12.01</v>
          </cell>
          <cell r="D22">
            <v>12.01</v>
          </cell>
          <cell r="E22">
            <v>12.01</v>
          </cell>
          <cell r="F22">
            <v>12.01</v>
          </cell>
          <cell r="G22">
            <v>12.01</v>
          </cell>
          <cell r="H22">
            <v>12.01</v>
          </cell>
          <cell r="I22">
            <v>12.01</v>
          </cell>
          <cell r="AD22">
            <v>12.01</v>
          </cell>
          <cell r="AE22">
            <v>12.01</v>
          </cell>
        </row>
        <row r="23">
          <cell r="B23">
            <v>10.43</v>
          </cell>
          <cell r="C23">
            <v>10.46</v>
          </cell>
          <cell r="D23">
            <v>10.45</v>
          </cell>
          <cell r="E23">
            <v>10.39</v>
          </cell>
          <cell r="F23">
            <v>10.28</v>
          </cell>
          <cell r="G23">
            <v>10.11</v>
          </cell>
          <cell r="H23">
            <v>9.98</v>
          </cell>
          <cell r="I23">
            <v>9.9600000000000009</v>
          </cell>
          <cell r="AD23">
            <v>10.46</v>
          </cell>
          <cell r="AE23">
            <v>9.9600000000000009</v>
          </cell>
        </row>
        <row r="24">
          <cell r="B24">
            <v>10.49</v>
          </cell>
          <cell r="C24">
            <v>10.49</v>
          </cell>
          <cell r="D24">
            <v>10.49</v>
          </cell>
          <cell r="E24">
            <v>10.48</v>
          </cell>
          <cell r="F24">
            <v>10.47</v>
          </cell>
          <cell r="G24">
            <v>10.46</v>
          </cell>
          <cell r="H24">
            <v>10.44</v>
          </cell>
          <cell r="I24">
            <v>10.43</v>
          </cell>
          <cell r="AD24">
            <v>10.49</v>
          </cell>
          <cell r="AE24">
            <v>10.43</v>
          </cell>
        </row>
        <row r="25">
          <cell r="B25" t="str">
            <v>**.**</v>
          </cell>
          <cell r="C25" t="str">
            <v>**.**</v>
          </cell>
          <cell r="D25" t="str">
            <v>**.**</v>
          </cell>
          <cell r="E25" t="str">
            <v>**.**</v>
          </cell>
          <cell r="F25" t="str">
            <v>**.**</v>
          </cell>
          <cell r="G25" t="str">
            <v>**.**</v>
          </cell>
          <cell r="H25" t="str">
            <v>**.**</v>
          </cell>
          <cell r="I25" t="str">
            <v>**.**</v>
          </cell>
          <cell r="J25" t="str">
            <v>**.**</v>
          </cell>
          <cell r="K25" t="str">
            <v>**.**</v>
          </cell>
          <cell r="L25" t="str">
            <v>**.**</v>
          </cell>
          <cell r="M25" t="str">
            <v>**.**</v>
          </cell>
          <cell r="N25" t="str">
            <v>**.**</v>
          </cell>
          <cell r="O25" t="str">
            <v>**.**</v>
          </cell>
          <cell r="P25" t="str">
            <v>**.**</v>
          </cell>
          <cell r="Q25" t="str">
            <v>**.**</v>
          </cell>
          <cell r="R25" t="str">
            <v>**.**</v>
          </cell>
          <cell r="S25" t="str">
            <v>**.**</v>
          </cell>
          <cell r="T25" t="str">
            <v>**.**</v>
          </cell>
          <cell r="U25" t="str">
            <v>**.**</v>
          </cell>
          <cell r="V25" t="str">
            <v>**.**</v>
          </cell>
          <cell r="W25" t="str">
            <v>**.**</v>
          </cell>
          <cell r="X25" t="str">
            <v>**.**</v>
          </cell>
          <cell r="Y25" t="str">
            <v>**.**</v>
          </cell>
          <cell r="AD25">
            <v>0</v>
          </cell>
          <cell r="AE25">
            <v>0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11.12</v>
          </cell>
          <cell r="C27">
            <v>11.16</v>
          </cell>
          <cell r="F27">
            <v>10.88</v>
          </cell>
          <cell r="G27">
            <v>10.68</v>
          </cell>
          <cell r="I27">
            <v>10.46</v>
          </cell>
          <cell r="AD27">
            <v>11.16</v>
          </cell>
          <cell r="AE27">
            <v>10.46</v>
          </cell>
        </row>
        <row r="28">
          <cell r="B28">
            <v>11.18</v>
          </cell>
          <cell r="C28">
            <v>11.22</v>
          </cell>
          <cell r="D28">
            <v>11.2</v>
          </cell>
          <cell r="E28">
            <v>11.09</v>
          </cell>
          <cell r="F28">
            <v>10.89</v>
          </cell>
          <cell r="G28">
            <v>10.72</v>
          </cell>
          <cell r="H28">
            <v>10.69</v>
          </cell>
          <cell r="I28">
            <v>10.69</v>
          </cell>
          <cell r="AD28">
            <v>11.22</v>
          </cell>
          <cell r="AE28">
            <v>10.69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 t="str">
            <v>**.**</v>
          </cell>
          <cell r="C30" t="str">
            <v>**.**</v>
          </cell>
          <cell r="D30" t="str">
            <v>**.**</v>
          </cell>
          <cell r="E30" t="str">
            <v>**.**</v>
          </cell>
          <cell r="F30" t="str">
            <v>**.**</v>
          </cell>
          <cell r="G30" t="str">
            <v>**.**</v>
          </cell>
          <cell r="H30" t="str">
            <v>**.**</v>
          </cell>
          <cell r="I30" t="str">
            <v>**.**</v>
          </cell>
          <cell r="J30" t="str">
            <v>**.**</v>
          </cell>
          <cell r="K30" t="str">
            <v>**.**</v>
          </cell>
          <cell r="L30" t="str">
            <v>**.**</v>
          </cell>
          <cell r="M30" t="str">
            <v>**.**</v>
          </cell>
          <cell r="N30" t="str">
            <v>**.**</v>
          </cell>
          <cell r="O30" t="str">
            <v>**.**</v>
          </cell>
          <cell r="P30" t="str">
            <v>**.**</v>
          </cell>
          <cell r="Q30" t="str">
            <v>**.**</v>
          </cell>
          <cell r="R30" t="str">
            <v>**.**</v>
          </cell>
          <cell r="S30" t="str">
            <v>**.**</v>
          </cell>
          <cell r="T30" t="str">
            <v>**.**</v>
          </cell>
          <cell r="U30" t="str">
            <v>**.**</v>
          </cell>
          <cell r="V30" t="str">
            <v>**.**</v>
          </cell>
          <cell r="W30" t="str">
            <v>**.**</v>
          </cell>
          <cell r="X30" t="str">
            <v>**.**</v>
          </cell>
          <cell r="Y30" t="str">
            <v>**.**</v>
          </cell>
          <cell r="AD30">
            <v>0</v>
          </cell>
          <cell r="AE30">
            <v>0</v>
          </cell>
        </row>
      </sheetData>
      <sheetData sheetId="7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20.79</v>
          </cell>
          <cell r="C20" t="str">
            <v>**.**</v>
          </cell>
          <cell r="D20">
            <v>20.79</v>
          </cell>
          <cell r="E20">
            <v>20.79</v>
          </cell>
          <cell r="F20">
            <v>20.79</v>
          </cell>
          <cell r="G20">
            <v>20.79</v>
          </cell>
          <cell r="H20">
            <v>20.79</v>
          </cell>
          <cell r="I20">
            <v>20.79</v>
          </cell>
          <cell r="J20">
            <v>20.79</v>
          </cell>
          <cell r="AD20">
            <v>20.79</v>
          </cell>
          <cell r="AE20">
            <v>20.79</v>
          </cell>
        </row>
        <row r="21">
          <cell r="B21">
            <v>15.79</v>
          </cell>
          <cell r="C21">
            <v>15.79</v>
          </cell>
          <cell r="D21">
            <v>15.79</v>
          </cell>
          <cell r="E21">
            <v>15.79</v>
          </cell>
          <cell r="F21">
            <v>15.79</v>
          </cell>
          <cell r="G21">
            <v>15.79</v>
          </cell>
          <cell r="H21">
            <v>15.79</v>
          </cell>
          <cell r="I21">
            <v>15.79</v>
          </cell>
          <cell r="J21">
            <v>15.79</v>
          </cell>
          <cell r="AD21">
            <v>15.79</v>
          </cell>
          <cell r="AE21">
            <v>15.79</v>
          </cell>
        </row>
        <row r="22">
          <cell r="B22">
            <v>12.01</v>
          </cell>
          <cell r="C22">
            <v>12.01</v>
          </cell>
          <cell r="D22">
            <v>12.01</v>
          </cell>
          <cell r="E22">
            <v>12.01</v>
          </cell>
          <cell r="F22">
            <v>12.01</v>
          </cell>
          <cell r="G22">
            <v>12.01</v>
          </cell>
          <cell r="H22">
            <v>12.01</v>
          </cell>
          <cell r="I22">
            <v>12.01</v>
          </cell>
          <cell r="J22">
            <v>12.01</v>
          </cell>
          <cell r="AD22">
            <v>12.01</v>
          </cell>
          <cell r="AE22">
            <v>12.01</v>
          </cell>
        </row>
        <row r="23">
          <cell r="B23">
            <v>10.41</v>
          </cell>
          <cell r="C23">
            <v>10.45</v>
          </cell>
          <cell r="D23">
            <v>10.47</v>
          </cell>
          <cell r="E23">
            <v>10.44</v>
          </cell>
          <cell r="F23">
            <v>10.38</v>
          </cell>
          <cell r="G23">
            <v>10.26</v>
          </cell>
          <cell r="H23">
            <v>10.1</v>
          </cell>
          <cell r="I23">
            <v>9.98</v>
          </cell>
          <cell r="AD23">
            <v>10.47</v>
          </cell>
          <cell r="AE23">
            <v>9.98</v>
          </cell>
        </row>
        <row r="24">
          <cell r="B24">
            <v>10.47</v>
          </cell>
          <cell r="C24">
            <v>10.47</v>
          </cell>
          <cell r="D24">
            <v>10.48</v>
          </cell>
          <cell r="E24">
            <v>10.47</v>
          </cell>
          <cell r="F24">
            <v>10.46</v>
          </cell>
          <cell r="G24">
            <v>10.44</v>
          </cell>
          <cell r="H24">
            <v>10.42</v>
          </cell>
          <cell r="I24">
            <v>10.42</v>
          </cell>
          <cell r="AD24">
            <v>10.48</v>
          </cell>
          <cell r="AE24">
            <v>10.42</v>
          </cell>
        </row>
        <row r="25">
          <cell r="B25" t="str">
            <v>**.**</v>
          </cell>
          <cell r="C25" t="str">
            <v>**.**</v>
          </cell>
          <cell r="D25" t="str">
            <v>**.**</v>
          </cell>
          <cell r="E25" t="str">
            <v>**.**</v>
          </cell>
          <cell r="F25" t="str">
            <v>**.**</v>
          </cell>
          <cell r="G25" t="str">
            <v>**.**</v>
          </cell>
          <cell r="H25" t="str">
            <v>**.**</v>
          </cell>
          <cell r="I25" t="str">
            <v>**.**</v>
          </cell>
          <cell r="J25" t="str">
            <v>**.**</v>
          </cell>
          <cell r="K25" t="str">
            <v>**.**</v>
          </cell>
          <cell r="L25" t="str">
            <v>**.**</v>
          </cell>
          <cell r="M25" t="str">
            <v>**.**</v>
          </cell>
          <cell r="N25" t="str">
            <v>**.**</v>
          </cell>
          <cell r="O25" t="str">
            <v>**.**</v>
          </cell>
          <cell r="P25" t="str">
            <v>**.**</v>
          </cell>
          <cell r="Q25" t="str">
            <v>**.**</v>
          </cell>
          <cell r="R25" t="str">
            <v>**.**</v>
          </cell>
          <cell r="S25" t="str">
            <v>**.**</v>
          </cell>
          <cell r="T25" t="str">
            <v>**.**</v>
          </cell>
          <cell r="U25" t="str">
            <v>**.**</v>
          </cell>
          <cell r="V25" t="str">
            <v>**.**</v>
          </cell>
          <cell r="W25" t="str">
            <v>**.**</v>
          </cell>
          <cell r="X25" t="str">
            <v>**.**</v>
          </cell>
          <cell r="Y25" t="str">
            <v>**.**</v>
          </cell>
          <cell r="AD25">
            <v>0</v>
          </cell>
          <cell r="AE25">
            <v>0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11.18</v>
          </cell>
          <cell r="C27" t="str">
            <v>**.**</v>
          </cell>
          <cell r="D27" t="str">
            <v>**.**</v>
          </cell>
          <cell r="E27" t="str">
            <v>**.**</v>
          </cell>
          <cell r="F27">
            <v>11.04</v>
          </cell>
          <cell r="G27">
            <v>10.8</v>
          </cell>
          <cell r="H27">
            <v>10.58</v>
          </cell>
          <cell r="I27">
            <v>10.46</v>
          </cell>
          <cell r="AD27">
            <v>11.18</v>
          </cell>
          <cell r="AE27">
            <v>10.46</v>
          </cell>
        </row>
        <row r="28">
          <cell r="B28">
            <v>11.25</v>
          </cell>
          <cell r="C28">
            <v>11.3</v>
          </cell>
          <cell r="D28">
            <v>11.32</v>
          </cell>
          <cell r="E28">
            <v>11.25</v>
          </cell>
          <cell r="F28">
            <v>11.05</v>
          </cell>
          <cell r="G28">
            <v>10.81</v>
          </cell>
          <cell r="H28">
            <v>10.7</v>
          </cell>
          <cell r="I28">
            <v>10.69</v>
          </cell>
          <cell r="AD28">
            <v>11.32</v>
          </cell>
          <cell r="AE28">
            <v>10.69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10.7</v>
          </cell>
          <cell r="C30">
            <v>10.7</v>
          </cell>
          <cell r="D30">
            <v>10.7</v>
          </cell>
          <cell r="E30">
            <v>10.7</v>
          </cell>
          <cell r="F30">
            <v>10.7</v>
          </cell>
          <cell r="G30">
            <v>10.7</v>
          </cell>
          <cell r="H30">
            <v>10.7</v>
          </cell>
          <cell r="I30">
            <v>10.7</v>
          </cell>
          <cell r="AD30">
            <v>10.7</v>
          </cell>
          <cell r="AE30">
            <v>10.7</v>
          </cell>
        </row>
      </sheetData>
      <sheetData sheetId="8" refreshError="1"/>
      <sheetData sheetId="9" refreshError="1"/>
      <sheetData sheetId="10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20.79</v>
          </cell>
          <cell r="C20">
            <v>20.79</v>
          </cell>
          <cell r="D20">
            <v>20.79</v>
          </cell>
          <cell r="E20" t="str">
            <v>**.**</v>
          </cell>
          <cell r="F20">
            <v>20.79</v>
          </cell>
          <cell r="G20">
            <v>20.79</v>
          </cell>
          <cell r="H20">
            <v>20.79</v>
          </cell>
          <cell r="I20">
            <v>20.79</v>
          </cell>
          <cell r="J20">
            <v>20.79</v>
          </cell>
          <cell r="K20">
            <v>20.79</v>
          </cell>
          <cell r="L20">
            <v>20.79</v>
          </cell>
          <cell r="M20">
            <v>20.79</v>
          </cell>
          <cell r="N20">
            <v>20.79</v>
          </cell>
          <cell r="O20">
            <v>20.79</v>
          </cell>
          <cell r="P20">
            <v>20.79</v>
          </cell>
          <cell r="Q20">
            <v>20.79</v>
          </cell>
          <cell r="R20">
            <v>20.79</v>
          </cell>
          <cell r="S20">
            <v>20.79</v>
          </cell>
          <cell r="T20">
            <v>20.79</v>
          </cell>
          <cell r="U20">
            <v>20.79</v>
          </cell>
          <cell r="V20">
            <v>20.79</v>
          </cell>
          <cell r="W20">
            <v>20.79</v>
          </cell>
          <cell r="X20">
            <v>20.79</v>
          </cell>
          <cell r="Y20">
            <v>20.79</v>
          </cell>
          <cell r="AD20">
            <v>20.79</v>
          </cell>
          <cell r="AE20">
            <v>20.79</v>
          </cell>
        </row>
        <row r="21">
          <cell r="B21">
            <v>15.79</v>
          </cell>
          <cell r="C21">
            <v>15.79</v>
          </cell>
          <cell r="D21">
            <v>15.79</v>
          </cell>
          <cell r="E21">
            <v>15.79</v>
          </cell>
          <cell r="F21">
            <v>15.79</v>
          </cell>
          <cell r="G21">
            <v>15.79</v>
          </cell>
          <cell r="H21">
            <v>15.79</v>
          </cell>
          <cell r="I21">
            <v>15.79</v>
          </cell>
          <cell r="J21">
            <v>15.79</v>
          </cell>
          <cell r="K21">
            <v>15.79</v>
          </cell>
          <cell r="L21">
            <v>15.79</v>
          </cell>
          <cell r="M21">
            <v>15.79</v>
          </cell>
          <cell r="N21">
            <v>15.79</v>
          </cell>
          <cell r="O21">
            <v>15.79</v>
          </cell>
          <cell r="P21">
            <v>15.79</v>
          </cell>
          <cell r="Q21">
            <v>15.79</v>
          </cell>
          <cell r="R21">
            <v>15.79</v>
          </cell>
          <cell r="S21">
            <v>15.79</v>
          </cell>
          <cell r="T21">
            <v>15.79</v>
          </cell>
          <cell r="U21">
            <v>15.79</v>
          </cell>
          <cell r="V21">
            <v>15.79</v>
          </cell>
          <cell r="W21">
            <v>15.79</v>
          </cell>
          <cell r="X21">
            <v>15.79</v>
          </cell>
          <cell r="Y21">
            <v>15.79</v>
          </cell>
          <cell r="AD21">
            <v>15.79</v>
          </cell>
          <cell r="AE21">
            <v>15.79</v>
          </cell>
        </row>
        <row r="22">
          <cell r="B22">
            <v>12.01</v>
          </cell>
          <cell r="C22">
            <v>12.01</v>
          </cell>
          <cell r="D22">
            <v>12.01</v>
          </cell>
          <cell r="E22">
            <v>12.01</v>
          </cell>
          <cell r="F22">
            <v>12.01</v>
          </cell>
          <cell r="G22">
            <v>12.01</v>
          </cell>
          <cell r="H22">
            <v>12.01</v>
          </cell>
          <cell r="I22">
            <v>12.01</v>
          </cell>
          <cell r="J22">
            <v>12.01</v>
          </cell>
          <cell r="K22">
            <v>12.01</v>
          </cell>
          <cell r="L22">
            <v>12.01</v>
          </cell>
          <cell r="M22">
            <v>12.01</v>
          </cell>
          <cell r="N22">
            <v>12.01</v>
          </cell>
          <cell r="O22">
            <v>12.01</v>
          </cell>
          <cell r="P22">
            <v>12.01</v>
          </cell>
          <cell r="Q22">
            <v>12.01</v>
          </cell>
          <cell r="R22">
            <v>12.01</v>
          </cell>
          <cell r="S22">
            <v>12.01</v>
          </cell>
          <cell r="T22">
            <v>12.01</v>
          </cell>
          <cell r="U22">
            <v>12.01</v>
          </cell>
          <cell r="V22">
            <v>12.01</v>
          </cell>
          <cell r="W22">
            <v>12.01</v>
          </cell>
          <cell r="X22">
            <v>12.01</v>
          </cell>
          <cell r="Y22">
            <v>12.01</v>
          </cell>
          <cell r="AD22">
            <v>12.01</v>
          </cell>
          <cell r="AE22">
            <v>12.01</v>
          </cell>
        </row>
        <row r="23">
          <cell r="B23">
            <v>10.44</v>
          </cell>
          <cell r="C23">
            <v>10.5</v>
          </cell>
          <cell r="D23">
            <v>10.54</v>
          </cell>
          <cell r="E23">
            <v>10.56</v>
          </cell>
          <cell r="F23">
            <v>10.57</v>
          </cell>
          <cell r="G23">
            <v>10.51</v>
          </cell>
          <cell r="H23">
            <v>10.52</v>
          </cell>
          <cell r="I23">
            <v>10.43</v>
          </cell>
          <cell r="J23">
            <v>10.29</v>
          </cell>
          <cell r="K23">
            <v>10.119999999999999</v>
          </cell>
          <cell r="L23">
            <v>10.06</v>
          </cell>
          <cell r="M23">
            <v>10.08</v>
          </cell>
          <cell r="N23">
            <v>10.039999999999999</v>
          </cell>
          <cell r="O23">
            <v>10.029999999999999</v>
          </cell>
          <cell r="P23">
            <v>10.050000000000001</v>
          </cell>
          <cell r="Q23">
            <v>10.06</v>
          </cell>
          <cell r="R23">
            <v>10.11</v>
          </cell>
          <cell r="S23">
            <v>10.16</v>
          </cell>
          <cell r="T23">
            <v>10.19</v>
          </cell>
          <cell r="U23">
            <v>10.199999999999999</v>
          </cell>
          <cell r="V23">
            <v>10.199999999999999</v>
          </cell>
          <cell r="W23">
            <v>10.24</v>
          </cell>
          <cell r="X23">
            <v>10.3</v>
          </cell>
          <cell r="Y23">
            <v>10.35</v>
          </cell>
          <cell r="AD23">
            <v>10.57</v>
          </cell>
          <cell r="AE23">
            <v>10.029999999999999</v>
          </cell>
        </row>
        <row r="24">
          <cell r="AD24">
            <v>0</v>
          </cell>
          <cell r="AE24">
            <v>0</v>
          </cell>
        </row>
        <row r="25">
          <cell r="B25" t="str">
            <v>**.**</v>
          </cell>
          <cell r="C25" t="str">
            <v>**.**</v>
          </cell>
          <cell r="D25" t="str">
            <v>**.**</v>
          </cell>
          <cell r="E25" t="str">
            <v>**.**</v>
          </cell>
          <cell r="F25" t="str">
            <v>**.**</v>
          </cell>
          <cell r="G25" t="str">
            <v>**.**</v>
          </cell>
          <cell r="H25" t="str">
            <v>**.**</v>
          </cell>
          <cell r="I25" t="str">
            <v>**.**</v>
          </cell>
          <cell r="J25" t="str">
            <v>**.**</v>
          </cell>
          <cell r="K25" t="str">
            <v>**.**</v>
          </cell>
          <cell r="L25" t="str">
            <v>**.**</v>
          </cell>
          <cell r="M25" t="str">
            <v>**.**</v>
          </cell>
          <cell r="N25" t="str">
            <v>**.**</v>
          </cell>
          <cell r="O25" t="str">
            <v>**.**</v>
          </cell>
          <cell r="P25" t="str">
            <v>**.**</v>
          </cell>
          <cell r="Q25" t="str">
            <v>**.**</v>
          </cell>
          <cell r="R25" t="str">
            <v>**.**</v>
          </cell>
          <cell r="S25" t="str">
            <v>**.**</v>
          </cell>
          <cell r="T25" t="str">
            <v>**.**</v>
          </cell>
          <cell r="U25" t="str">
            <v>**.**</v>
          </cell>
          <cell r="V25" t="str">
            <v>**.**</v>
          </cell>
          <cell r="W25" t="str">
            <v>**.**</v>
          </cell>
          <cell r="X25" t="str">
            <v>**.**</v>
          </cell>
          <cell r="Y25" t="str">
            <v>**.**</v>
          </cell>
          <cell r="AD25">
            <v>0</v>
          </cell>
          <cell r="AE25">
            <v>0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 t="str">
            <v>**.**</v>
          </cell>
          <cell r="C27">
            <v>11.3</v>
          </cell>
          <cell r="D27" t="str">
            <v>**.**</v>
          </cell>
          <cell r="E27" t="str">
            <v>**.**</v>
          </cell>
          <cell r="F27" t="str">
            <v>**.**</v>
          </cell>
          <cell r="G27">
            <v>11.36</v>
          </cell>
          <cell r="H27" t="str">
            <v>**.**</v>
          </cell>
          <cell r="I27" t="str">
            <v>**.**</v>
          </cell>
          <cell r="J27" t="str">
            <v>**.**</v>
          </cell>
          <cell r="K27" t="str">
            <v>**.**</v>
          </cell>
          <cell r="L27" t="str">
            <v>**.**</v>
          </cell>
          <cell r="M27">
            <v>10.46</v>
          </cell>
          <cell r="N27">
            <v>10.46</v>
          </cell>
          <cell r="O27">
            <v>10.46</v>
          </cell>
          <cell r="P27">
            <v>10.46</v>
          </cell>
          <cell r="Q27">
            <v>10.46</v>
          </cell>
          <cell r="R27">
            <v>10.46</v>
          </cell>
          <cell r="S27">
            <v>10.52</v>
          </cell>
          <cell r="T27" t="str">
            <v>**.**</v>
          </cell>
          <cell r="U27">
            <v>10.6</v>
          </cell>
          <cell r="V27">
            <v>10.64</v>
          </cell>
          <cell r="W27" t="str">
            <v>**.**</v>
          </cell>
          <cell r="X27">
            <v>10.8</v>
          </cell>
          <cell r="Y27">
            <v>10.94</v>
          </cell>
          <cell r="AD27">
            <v>11.36</v>
          </cell>
          <cell r="AE27">
            <v>10.46</v>
          </cell>
        </row>
        <row r="28">
          <cell r="B28">
            <v>11.24</v>
          </cell>
          <cell r="C28">
            <v>11.37</v>
          </cell>
          <cell r="D28">
            <v>11.45</v>
          </cell>
          <cell r="E28">
            <v>11.5</v>
          </cell>
          <cell r="F28">
            <v>11.47</v>
          </cell>
          <cell r="G28">
            <v>11.39</v>
          </cell>
          <cell r="H28">
            <v>11.23</v>
          </cell>
          <cell r="I28">
            <v>10.98</v>
          </cell>
          <cell r="J28">
            <v>10.7</v>
          </cell>
          <cell r="K28">
            <v>10.7</v>
          </cell>
          <cell r="L28">
            <v>10.7</v>
          </cell>
          <cell r="M28">
            <v>10.7</v>
          </cell>
          <cell r="N28">
            <v>10.7</v>
          </cell>
          <cell r="O28">
            <v>10.69</v>
          </cell>
          <cell r="P28">
            <v>10.69</v>
          </cell>
          <cell r="Q28">
            <v>10.69</v>
          </cell>
          <cell r="R28">
            <v>10.69</v>
          </cell>
          <cell r="S28">
            <v>10.69</v>
          </cell>
          <cell r="T28">
            <v>10.69</v>
          </cell>
          <cell r="U28">
            <v>10.69</v>
          </cell>
          <cell r="V28">
            <v>10.69</v>
          </cell>
          <cell r="W28">
            <v>10.7</v>
          </cell>
          <cell r="X28">
            <v>10.87</v>
          </cell>
          <cell r="Y28">
            <v>11</v>
          </cell>
          <cell r="AD28">
            <v>11.5</v>
          </cell>
          <cell r="AE28">
            <v>10.69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10.7</v>
          </cell>
          <cell r="C30">
            <v>10.7</v>
          </cell>
          <cell r="D30">
            <v>10.7</v>
          </cell>
          <cell r="E30">
            <v>10.7</v>
          </cell>
          <cell r="F30">
            <v>10.7</v>
          </cell>
          <cell r="G30">
            <v>10.7</v>
          </cell>
          <cell r="H30">
            <v>10.68</v>
          </cell>
          <cell r="I30">
            <v>10.68</v>
          </cell>
          <cell r="J30">
            <v>10.68</v>
          </cell>
          <cell r="K30">
            <v>10.68</v>
          </cell>
          <cell r="L30">
            <v>10.68</v>
          </cell>
          <cell r="M30">
            <v>10.68</v>
          </cell>
          <cell r="N30">
            <v>10.68</v>
          </cell>
          <cell r="O30">
            <v>10.68</v>
          </cell>
          <cell r="P30">
            <v>10.68</v>
          </cell>
          <cell r="Q30">
            <v>10.68</v>
          </cell>
          <cell r="R30">
            <v>10.68</v>
          </cell>
          <cell r="S30">
            <v>10.68</v>
          </cell>
          <cell r="T30">
            <v>10.68</v>
          </cell>
          <cell r="U30">
            <v>10.68</v>
          </cell>
          <cell r="V30">
            <v>10.68</v>
          </cell>
          <cell r="W30">
            <v>10.68</v>
          </cell>
          <cell r="X30">
            <v>10.68</v>
          </cell>
          <cell r="Y30">
            <v>10.68</v>
          </cell>
          <cell r="AD30">
            <v>10.7</v>
          </cell>
          <cell r="AE30">
            <v>10.68</v>
          </cell>
        </row>
      </sheetData>
      <sheetData sheetId="11" refreshError="1"/>
      <sheetData sheetId="12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20.79</v>
          </cell>
          <cell r="C20">
            <v>20.79</v>
          </cell>
          <cell r="D20">
            <v>20.79</v>
          </cell>
          <cell r="E20">
            <v>20.79</v>
          </cell>
          <cell r="F20">
            <v>20.79</v>
          </cell>
          <cell r="G20">
            <v>20.79</v>
          </cell>
          <cell r="H20">
            <v>20.79</v>
          </cell>
          <cell r="I20">
            <v>20.79</v>
          </cell>
          <cell r="J20">
            <v>20.79</v>
          </cell>
          <cell r="AD20">
            <v>20.79</v>
          </cell>
          <cell r="AE20">
            <v>20.79</v>
          </cell>
        </row>
        <row r="21">
          <cell r="B21">
            <v>15.79</v>
          </cell>
          <cell r="C21">
            <v>15.79</v>
          </cell>
          <cell r="D21">
            <v>15.79</v>
          </cell>
          <cell r="E21">
            <v>15.79</v>
          </cell>
          <cell r="F21">
            <v>15.79</v>
          </cell>
          <cell r="G21">
            <v>15.79</v>
          </cell>
          <cell r="H21">
            <v>15.79</v>
          </cell>
          <cell r="I21">
            <v>15.79</v>
          </cell>
          <cell r="J21">
            <v>15.79</v>
          </cell>
          <cell r="AD21">
            <v>15.79</v>
          </cell>
          <cell r="AE21">
            <v>15.79</v>
          </cell>
        </row>
        <row r="22">
          <cell r="B22">
            <v>12.01</v>
          </cell>
          <cell r="C22">
            <v>12.01</v>
          </cell>
          <cell r="D22">
            <v>12.01</v>
          </cell>
          <cell r="E22">
            <v>12.01</v>
          </cell>
          <cell r="F22">
            <v>12.01</v>
          </cell>
          <cell r="G22">
            <v>12.01</v>
          </cell>
          <cell r="H22">
            <v>12.01</v>
          </cell>
          <cell r="I22">
            <v>12.01</v>
          </cell>
          <cell r="J22">
            <v>12.01</v>
          </cell>
          <cell r="AD22">
            <v>12.01</v>
          </cell>
          <cell r="AE22">
            <v>12.01</v>
          </cell>
        </row>
        <row r="23">
          <cell r="B23">
            <v>10.35</v>
          </cell>
          <cell r="C23">
            <v>10.39</v>
          </cell>
          <cell r="D23">
            <v>10.42</v>
          </cell>
          <cell r="E23">
            <v>10.44</v>
          </cell>
          <cell r="F23">
            <v>10.47</v>
          </cell>
          <cell r="G23">
            <v>10.52</v>
          </cell>
          <cell r="H23">
            <v>10.53</v>
          </cell>
          <cell r="I23">
            <v>10.48</v>
          </cell>
          <cell r="AD23">
            <v>10.53</v>
          </cell>
          <cell r="AE23">
            <v>10.35</v>
          </cell>
        </row>
        <row r="24">
          <cell r="B24">
            <v>10.44</v>
          </cell>
          <cell r="C24">
            <v>10.45</v>
          </cell>
          <cell r="D24">
            <v>10.46</v>
          </cell>
          <cell r="E24">
            <v>10.44</v>
          </cell>
          <cell r="F24">
            <v>10.43</v>
          </cell>
          <cell r="G24">
            <v>10.42</v>
          </cell>
          <cell r="H24">
            <v>10.41</v>
          </cell>
          <cell r="I24">
            <v>10.39</v>
          </cell>
          <cell r="AD24">
            <v>10.46</v>
          </cell>
          <cell r="AE24">
            <v>10.39</v>
          </cell>
        </row>
        <row r="25">
          <cell r="B25" t="str">
            <v>**.**</v>
          </cell>
          <cell r="C25" t="str">
            <v>**.**</v>
          </cell>
          <cell r="D25" t="str">
            <v>**.**</v>
          </cell>
          <cell r="E25" t="str">
            <v>**.**</v>
          </cell>
          <cell r="F25" t="str">
            <v>**.**</v>
          </cell>
          <cell r="G25" t="str">
            <v>**.**</v>
          </cell>
          <cell r="H25" t="str">
            <v>**.**</v>
          </cell>
          <cell r="I25" t="str">
            <v>**.**</v>
          </cell>
          <cell r="J25" t="str">
            <v>**.**</v>
          </cell>
          <cell r="K25" t="str">
            <v>**.**</v>
          </cell>
          <cell r="L25" t="str">
            <v>**.**</v>
          </cell>
          <cell r="M25" t="str">
            <v>**.**</v>
          </cell>
          <cell r="N25" t="str">
            <v>**.**</v>
          </cell>
          <cell r="O25" t="str">
            <v>**.**</v>
          </cell>
          <cell r="P25" t="str">
            <v>**.**</v>
          </cell>
          <cell r="Q25" t="str">
            <v>**.**</v>
          </cell>
          <cell r="R25" t="str">
            <v>**.**</v>
          </cell>
          <cell r="S25" t="str">
            <v>**.**</v>
          </cell>
          <cell r="T25" t="str">
            <v>**.**</v>
          </cell>
          <cell r="U25" t="str">
            <v>**.**</v>
          </cell>
          <cell r="V25" t="str">
            <v>**.**</v>
          </cell>
          <cell r="W25" t="str">
            <v>**.**</v>
          </cell>
          <cell r="X25" t="str">
            <v>**.**</v>
          </cell>
          <cell r="Y25" t="str">
            <v>**.**</v>
          </cell>
          <cell r="AD25">
            <v>0</v>
          </cell>
          <cell r="AE25">
            <v>0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10.94</v>
          </cell>
          <cell r="C27">
            <v>11.06</v>
          </cell>
          <cell r="D27" t="str">
            <v>**.**</v>
          </cell>
          <cell r="E27" t="str">
            <v>**.**</v>
          </cell>
          <cell r="F27" t="str">
            <v>**.**</v>
          </cell>
          <cell r="G27">
            <v>11.34</v>
          </cell>
          <cell r="H27">
            <v>11.44</v>
          </cell>
          <cell r="I27" t="str">
            <v>**.**</v>
          </cell>
          <cell r="AD27">
            <v>11.44</v>
          </cell>
          <cell r="AE27">
            <v>10.94</v>
          </cell>
        </row>
        <row r="28">
          <cell r="B28">
            <v>11.01</v>
          </cell>
          <cell r="C28">
            <v>11.12</v>
          </cell>
          <cell r="D28">
            <v>11.23</v>
          </cell>
          <cell r="E28" t="str">
            <v>**.**</v>
          </cell>
          <cell r="F28">
            <v>11.38</v>
          </cell>
          <cell r="G28">
            <v>11.4</v>
          </cell>
          <cell r="H28">
            <v>11.37</v>
          </cell>
          <cell r="I28" t="str">
            <v>**.**</v>
          </cell>
          <cell r="AD28">
            <v>11.4</v>
          </cell>
          <cell r="AE28">
            <v>11.01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10.68</v>
          </cell>
          <cell r="C30">
            <v>10.68</v>
          </cell>
          <cell r="D30">
            <v>10.69</v>
          </cell>
          <cell r="E30">
            <v>10.69</v>
          </cell>
          <cell r="F30">
            <v>10.69</v>
          </cell>
          <cell r="G30">
            <v>10.69</v>
          </cell>
          <cell r="H30">
            <v>10.69</v>
          </cell>
          <cell r="I30">
            <v>10.69</v>
          </cell>
          <cell r="AD30">
            <v>10.69</v>
          </cell>
          <cell r="AE30">
            <v>10.68</v>
          </cell>
        </row>
      </sheetData>
      <sheetData sheetId="13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**.**</v>
          </cell>
          <cell r="C20">
            <v>20.79</v>
          </cell>
          <cell r="D20">
            <v>20.79</v>
          </cell>
          <cell r="E20">
            <v>20.79</v>
          </cell>
          <cell r="F20">
            <v>20.79</v>
          </cell>
          <cell r="G20">
            <v>20.79</v>
          </cell>
          <cell r="H20" t="str">
            <v>**.**</v>
          </cell>
          <cell r="I20">
            <v>20.79</v>
          </cell>
          <cell r="J20">
            <v>20.79</v>
          </cell>
          <cell r="K20">
            <v>20.79</v>
          </cell>
          <cell r="L20">
            <v>20.79</v>
          </cell>
          <cell r="M20">
            <v>20.79</v>
          </cell>
          <cell r="N20">
            <v>20.79</v>
          </cell>
          <cell r="O20">
            <v>20.79</v>
          </cell>
          <cell r="P20" t="str">
            <v>**.**</v>
          </cell>
          <cell r="Q20">
            <v>20.79</v>
          </cell>
          <cell r="R20">
            <v>20.79</v>
          </cell>
          <cell r="S20">
            <v>20.79</v>
          </cell>
          <cell r="T20">
            <v>20.79</v>
          </cell>
          <cell r="U20" t="str">
            <v>**.**</v>
          </cell>
          <cell r="V20">
            <v>20.79</v>
          </cell>
          <cell r="W20">
            <v>20.79</v>
          </cell>
          <cell r="X20" t="str">
            <v>**.**</v>
          </cell>
          <cell r="Y20">
            <v>20.79</v>
          </cell>
          <cell r="AD20">
            <v>20.79</v>
          </cell>
          <cell r="AE20">
            <v>20.79</v>
          </cell>
        </row>
        <row r="21">
          <cell r="B21">
            <v>15.79</v>
          </cell>
          <cell r="C21">
            <v>15.79</v>
          </cell>
          <cell r="D21">
            <v>15.79</v>
          </cell>
          <cell r="E21">
            <v>15.79</v>
          </cell>
          <cell r="F21">
            <v>15.79</v>
          </cell>
          <cell r="G21">
            <v>15.79</v>
          </cell>
          <cell r="H21">
            <v>15.79</v>
          </cell>
          <cell r="I21">
            <v>15.79</v>
          </cell>
          <cell r="J21">
            <v>15.79</v>
          </cell>
          <cell r="K21">
            <v>15.79</v>
          </cell>
          <cell r="L21">
            <v>15.79</v>
          </cell>
          <cell r="M21">
            <v>15.79</v>
          </cell>
          <cell r="N21">
            <v>15.79</v>
          </cell>
          <cell r="O21">
            <v>15.79</v>
          </cell>
          <cell r="P21" t="str">
            <v>**.**</v>
          </cell>
          <cell r="Q21">
            <v>15.79</v>
          </cell>
          <cell r="R21">
            <v>15.79</v>
          </cell>
          <cell r="S21">
            <v>15.79</v>
          </cell>
          <cell r="T21">
            <v>15.79</v>
          </cell>
          <cell r="U21">
            <v>15.79</v>
          </cell>
          <cell r="V21">
            <v>15.79</v>
          </cell>
          <cell r="W21">
            <v>15.79</v>
          </cell>
          <cell r="X21">
            <v>15.79</v>
          </cell>
          <cell r="Y21">
            <v>15.79</v>
          </cell>
          <cell r="AD21">
            <v>15.79</v>
          </cell>
          <cell r="AE21">
            <v>15.79</v>
          </cell>
        </row>
        <row r="22">
          <cell r="B22">
            <v>12.01</v>
          </cell>
          <cell r="C22">
            <v>12.01</v>
          </cell>
          <cell r="D22">
            <v>12.01</v>
          </cell>
          <cell r="E22">
            <v>12.01</v>
          </cell>
          <cell r="F22">
            <v>12.01</v>
          </cell>
          <cell r="G22">
            <v>12.01</v>
          </cell>
          <cell r="H22">
            <v>12.01</v>
          </cell>
          <cell r="I22">
            <v>12.01</v>
          </cell>
          <cell r="J22">
            <v>12.01</v>
          </cell>
          <cell r="K22">
            <v>12.01</v>
          </cell>
          <cell r="L22">
            <v>12.01</v>
          </cell>
          <cell r="M22">
            <v>12.01</v>
          </cell>
          <cell r="N22">
            <v>12.01</v>
          </cell>
          <cell r="O22">
            <v>12.01</v>
          </cell>
          <cell r="P22" t="str">
            <v>**.**</v>
          </cell>
          <cell r="Q22">
            <v>12.01</v>
          </cell>
          <cell r="R22">
            <v>12.01</v>
          </cell>
          <cell r="S22">
            <v>12.01</v>
          </cell>
          <cell r="T22">
            <v>12.01</v>
          </cell>
          <cell r="U22">
            <v>12.01</v>
          </cell>
          <cell r="V22">
            <v>12.01</v>
          </cell>
          <cell r="W22">
            <v>12.01</v>
          </cell>
          <cell r="X22" t="str">
            <v>**.**</v>
          </cell>
          <cell r="Y22">
            <v>12.01</v>
          </cell>
          <cell r="AD22">
            <v>12.01</v>
          </cell>
          <cell r="AE22">
            <v>12.01</v>
          </cell>
        </row>
        <row r="23">
          <cell r="B23">
            <v>10.3</v>
          </cell>
          <cell r="C23">
            <v>10.33</v>
          </cell>
          <cell r="D23">
            <v>10.36</v>
          </cell>
          <cell r="E23">
            <v>10.39</v>
          </cell>
          <cell r="F23">
            <v>10.41</v>
          </cell>
          <cell r="G23">
            <v>10.5</v>
          </cell>
          <cell r="H23">
            <v>10.5</v>
          </cell>
          <cell r="I23">
            <v>10.45</v>
          </cell>
          <cell r="J23">
            <v>10.44</v>
          </cell>
          <cell r="K23">
            <v>10.42</v>
          </cell>
          <cell r="L23">
            <v>10.37</v>
          </cell>
          <cell r="M23">
            <v>10.3</v>
          </cell>
          <cell r="N23">
            <v>10.17</v>
          </cell>
          <cell r="O23">
            <v>10.130000000000001</v>
          </cell>
          <cell r="P23" t="str">
            <v>**.**</v>
          </cell>
          <cell r="Q23">
            <v>10.11</v>
          </cell>
          <cell r="R23">
            <v>10.130000000000001</v>
          </cell>
          <cell r="S23">
            <v>10.11</v>
          </cell>
          <cell r="T23">
            <v>10.130000000000001</v>
          </cell>
          <cell r="U23">
            <v>10.17</v>
          </cell>
          <cell r="V23">
            <v>10.23</v>
          </cell>
          <cell r="W23">
            <v>10.28</v>
          </cell>
          <cell r="X23">
            <v>10.28</v>
          </cell>
          <cell r="Y23">
            <v>10.31</v>
          </cell>
          <cell r="AD23">
            <v>10.5</v>
          </cell>
          <cell r="AE23">
            <v>10.11</v>
          </cell>
        </row>
        <row r="24">
          <cell r="B24">
            <v>10.45</v>
          </cell>
          <cell r="C24">
            <v>10.44</v>
          </cell>
          <cell r="D24">
            <v>10.44</v>
          </cell>
          <cell r="E24">
            <v>10.43</v>
          </cell>
          <cell r="F24">
            <v>10.44</v>
          </cell>
          <cell r="G24">
            <v>10.41</v>
          </cell>
          <cell r="H24">
            <v>10.39</v>
          </cell>
          <cell r="I24">
            <v>10.4</v>
          </cell>
          <cell r="J24">
            <v>10.4</v>
          </cell>
          <cell r="K24">
            <v>10.41</v>
          </cell>
          <cell r="L24">
            <v>10.43</v>
          </cell>
          <cell r="M24">
            <v>10.44</v>
          </cell>
          <cell r="N24">
            <v>10.43</v>
          </cell>
          <cell r="O24">
            <v>10.44</v>
          </cell>
          <cell r="P24" t="str">
            <v>**.**</v>
          </cell>
          <cell r="Q24">
            <v>10.45</v>
          </cell>
          <cell r="R24">
            <v>10.45</v>
          </cell>
          <cell r="S24">
            <v>10.45</v>
          </cell>
          <cell r="T24">
            <v>10.45</v>
          </cell>
          <cell r="U24">
            <v>10.45</v>
          </cell>
          <cell r="V24">
            <v>10.45</v>
          </cell>
          <cell r="W24">
            <v>10.46</v>
          </cell>
          <cell r="X24">
            <v>10.46</v>
          </cell>
          <cell r="Y24">
            <v>10.47</v>
          </cell>
          <cell r="AD24">
            <v>10.47</v>
          </cell>
          <cell r="AE24">
            <v>10.39</v>
          </cell>
        </row>
        <row r="25">
          <cell r="B25" t="str">
            <v>**.**</v>
          </cell>
          <cell r="C25" t="str">
            <v>**.**</v>
          </cell>
          <cell r="D25" t="str">
            <v>**.**</v>
          </cell>
          <cell r="E25" t="str">
            <v>**.**</v>
          </cell>
          <cell r="F25" t="str">
            <v>**.**</v>
          </cell>
          <cell r="G25" t="str">
            <v>**.**</v>
          </cell>
          <cell r="H25" t="str">
            <v>**.**</v>
          </cell>
          <cell r="I25" t="str">
            <v>**.**</v>
          </cell>
          <cell r="J25" t="str">
            <v>**.**</v>
          </cell>
          <cell r="K25" t="str">
            <v>**.**</v>
          </cell>
          <cell r="L25" t="str">
            <v>**.**</v>
          </cell>
          <cell r="M25" t="str">
            <v>**.**</v>
          </cell>
          <cell r="N25" t="str">
            <v>**.**</v>
          </cell>
          <cell r="O25" t="str">
            <v>**.**</v>
          </cell>
          <cell r="P25" t="str">
            <v>**.**</v>
          </cell>
          <cell r="Q25" t="str">
            <v>**.**</v>
          </cell>
          <cell r="R25" t="str">
            <v>**.**</v>
          </cell>
          <cell r="S25" t="str">
            <v>**.**</v>
          </cell>
          <cell r="T25" t="str">
            <v>**.**</v>
          </cell>
          <cell r="U25" t="str">
            <v>**.**</v>
          </cell>
          <cell r="V25" t="str">
            <v>**.**</v>
          </cell>
          <cell r="W25" t="str">
            <v>**.**</v>
          </cell>
          <cell r="X25" t="str">
            <v>**.**</v>
          </cell>
          <cell r="Y25" t="str">
            <v>**.**</v>
          </cell>
          <cell r="AD25">
            <v>0</v>
          </cell>
          <cell r="AE25">
            <v>0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10.86</v>
          </cell>
          <cell r="C27" t="str">
            <v>**.**</v>
          </cell>
          <cell r="D27">
            <v>11.04</v>
          </cell>
          <cell r="E27">
            <v>11.16</v>
          </cell>
          <cell r="F27">
            <v>11.24</v>
          </cell>
          <cell r="G27" t="str">
            <v>**.**</v>
          </cell>
          <cell r="H27">
            <v>11.22</v>
          </cell>
          <cell r="I27">
            <v>11.18</v>
          </cell>
          <cell r="J27">
            <v>11.12</v>
          </cell>
          <cell r="K27" t="str">
            <v>**.**</v>
          </cell>
          <cell r="L27" t="str">
            <v>**.**</v>
          </cell>
          <cell r="M27">
            <v>10.68</v>
          </cell>
          <cell r="N27">
            <v>10.56</v>
          </cell>
          <cell r="O27">
            <v>10.56</v>
          </cell>
          <cell r="P27" t="str">
            <v>**.**</v>
          </cell>
          <cell r="Q27">
            <v>10.46</v>
          </cell>
          <cell r="R27">
            <v>10.46</v>
          </cell>
          <cell r="S27">
            <v>10.46</v>
          </cell>
          <cell r="T27">
            <v>10.46</v>
          </cell>
          <cell r="U27" t="str">
            <v>**.**</v>
          </cell>
          <cell r="V27">
            <v>10.6</v>
          </cell>
          <cell r="W27">
            <v>10.66</v>
          </cell>
          <cell r="X27" t="str">
            <v>**.**</v>
          </cell>
          <cell r="Y27">
            <v>10.76</v>
          </cell>
          <cell r="AD27">
            <v>11.24</v>
          </cell>
          <cell r="AE27">
            <v>10.46</v>
          </cell>
        </row>
        <row r="28">
          <cell r="B28">
            <v>10.91</v>
          </cell>
          <cell r="C28">
            <v>11.01</v>
          </cell>
          <cell r="D28">
            <v>11.1</v>
          </cell>
          <cell r="E28">
            <v>11.22</v>
          </cell>
          <cell r="F28">
            <v>11.3</v>
          </cell>
          <cell r="G28">
            <v>11.37</v>
          </cell>
          <cell r="H28">
            <v>11.27</v>
          </cell>
          <cell r="I28">
            <v>11.22</v>
          </cell>
          <cell r="J28">
            <v>11.15</v>
          </cell>
          <cell r="K28">
            <v>11.03</v>
          </cell>
          <cell r="L28">
            <v>10.87</v>
          </cell>
          <cell r="M28">
            <v>10.71</v>
          </cell>
          <cell r="N28">
            <v>10.7</v>
          </cell>
          <cell r="O28">
            <v>10.7</v>
          </cell>
          <cell r="P28" t="str">
            <v>**.**</v>
          </cell>
          <cell r="Q28">
            <v>10.7</v>
          </cell>
          <cell r="R28">
            <v>10.7</v>
          </cell>
          <cell r="S28">
            <v>10.7</v>
          </cell>
          <cell r="T28">
            <v>10.7</v>
          </cell>
          <cell r="U28">
            <v>10.7</v>
          </cell>
          <cell r="V28">
            <v>10.7</v>
          </cell>
          <cell r="W28">
            <v>10.73</v>
          </cell>
          <cell r="X28">
            <v>10.78</v>
          </cell>
          <cell r="Y28">
            <v>10.82</v>
          </cell>
          <cell r="AD28">
            <v>11.37</v>
          </cell>
          <cell r="AE28">
            <v>10.7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10.69</v>
          </cell>
          <cell r="C30">
            <v>10.69</v>
          </cell>
          <cell r="D30">
            <v>10.69</v>
          </cell>
          <cell r="E30">
            <v>10.69</v>
          </cell>
          <cell r="F30">
            <v>10.69</v>
          </cell>
          <cell r="G30">
            <v>10.69</v>
          </cell>
          <cell r="H30">
            <v>10.69</v>
          </cell>
          <cell r="I30">
            <v>10.69</v>
          </cell>
          <cell r="J30">
            <v>10.69</v>
          </cell>
          <cell r="K30">
            <v>10.69</v>
          </cell>
          <cell r="L30">
            <v>10.69</v>
          </cell>
          <cell r="M30">
            <v>10.69</v>
          </cell>
          <cell r="N30">
            <v>10.69</v>
          </cell>
          <cell r="O30">
            <v>10.69</v>
          </cell>
          <cell r="P30" t="str">
            <v>**.**</v>
          </cell>
          <cell r="Q30">
            <v>10.69</v>
          </cell>
          <cell r="R30">
            <v>10.69</v>
          </cell>
          <cell r="S30">
            <v>10.69</v>
          </cell>
          <cell r="T30">
            <v>10.69</v>
          </cell>
          <cell r="U30">
            <v>10.69</v>
          </cell>
          <cell r="V30">
            <v>10.69</v>
          </cell>
          <cell r="W30">
            <v>10.69</v>
          </cell>
          <cell r="X30" t="str">
            <v>**.**</v>
          </cell>
          <cell r="Y30">
            <v>10.69</v>
          </cell>
          <cell r="AD30">
            <v>10.69</v>
          </cell>
          <cell r="AE30">
            <v>10.69</v>
          </cell>
        </row>
      </sheetData>
      <sheetData sheetId="14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20.79</v>
          </cell>
          <cell r="C20" t="str">
            <v>**.**</v>
          </cell>
          <cell r="D20">
            <v>20.79</v>
          </cell>
          <cell r="E20" t="str">
            <v>**.**</v>
          </cell>
          <cell r="F20">
            <v>20.79</v>
          </cell>
          <cell r="G20" t="str">
            <v>**.**</v>
          </cell>
          <cell r="H20">
            <v>20.79</v>
          </cell>
          <cell r="I20">
            <v>20.79</v>
          </cell>
          <cell r="J20">
            <v>20.79</v>
          </cell>
          <cell r="K20">
            <v>20.79</v>
          </cell>
          <cell r="L20">
            <v>20.81</v>
          </cell>
          <cell r="M20">
            <v>21.01</v>
          </cell>
          <cell r="N20">
            <v>21.95</v>
          </cell>
          <cell r="O20">
            <v>22.1</v>
          </cell>
          <cell r="P20">
            <v>21.92</v>
          </cell>
          <cell r="Q20">
            <v>22.58</v>
          </cell>
          <cell r="R20">
            <v>22.66</v>
          </cell>
          <cell r="S20">
            <v>22.53</v>
          </cell>
          <cell r="T20">
            <v>22.38</v>
          </cell>
          <cell r="U20">
            <v>22.23</v>
          </cell>
          <cell r="V20">
            <v>22.06</v>
          </cell>
          <cell r="W20">
            <v>21.88</v>
          </cell>
          <cell r="X20">
            <v>21.71</v>
          </cell>
          <cell r="Y20">
            <v>21.71</v>
          </cell>
          <cell r="AD20">
            <v>22.66</v>
          </cell>
          <cell r="AE20">
            <v>20.79</v>
          </cell>
        </row>
        <row r="21">
          <cell r="B21">
            <v>15.79</v>
          </cell>
          <cell r="C21">
            <v>15.79</v>
          </cell>
          <cell r="D21">
            <v>15.79</v>
          </cell>
          <cell r="E21">
            <v>15.79</v>
          </cell>
          <cell r="F21">
            <v>15.79</v>
          </cell>
          <cell r="G21">
            <v>15.79</v>
          </cell>
          <cell r="H21">
            <v>15.79</v>
          </cell>
          <cell r="I21">
            <v>15.79</v>
          </cell>
          <cell r="J21">
            <v>15.79</v>
          </cell>
          <cell r="K21">
            <v>15.99</v>
          </cell>
          <cell r="L21">
            <v>16.04</v>
          </cell>
          <cell r="M21">
            <v>16.440000000000001</v>
          </cell>
          <cell r="N21">
            <v>17.16</v>
          </cell>
          <cell r="O21">
            <v>17.329999999999998</v>
          </cell>
          <cell r="P21">
            <v>17.14</v>
          </cell>
          <cell r="Q21">
            <v>16.77</v>
          </cell>
          <cell r="R21">
            <v>16.73</v>
          </cell>
          <cell r="S21">
            <v>16.82</v>
          </cell>
          <cell r="T21">
            <v>16.760000000000002</v>
          </cell>
          <cell r="U21">
            <v>16.62</v>
          </cell>
          <cell r="V21">
            <v>16.48</v>
          </cell>
          <cell r="W21">
            <v>16.309999999999999</v>
          </cell>
          <cell r="X21">
            <v>16.14</v>
          </cell>
          <cell r="Y21">
            <v>15.98</v>
          </cell>
          <cell r="AD21">
            <v>17.329999999999998</v>
          </cell>
          <cell r="AE21">
            <v>15.79</v>
          </cell>
        </row>
        <row r="22">
          <cell r="B22">
            <v>12.01</v>
          </cell>
          <cell r="C22">
            <v>12.01</v>
          </cell>
          <cell r="D22">
            <v>12.01</v>
          </cell>
          <cell r="E22">
            <v>12.01</v>
          </cell>
          <cell r="F22">
            <v>12.01</v>
          </cell>
          <cell r="G22">
            <v>12.01</v>
          </cell>
          <cell r="H22">
            <v>12.01</v>
          </cell>
          <cell r="I22">
            <v>12.01</v>
          </cell>
          <cell r="J22">
            <v>12.01</v>
          </cell>
          <cell r="K22">
            <v>12.01</v>
          </cell>
          <cell r="L22">
            <v>12.2</v>
          </cell>
          <cell r="M22">
            <v>12.72</v>
          </cell>
          <cell r="N22">
            <v>13.39</v>
          </cell>
          <cell r="O22">
            <v>13.78</v>
          </cell>
          <cell r="P22">
            <v>13.81</v>
          </cell>
          <cell r="Q22">
            <v>13.36</v>
          </cell>
          <cell r="R22">
            <v>13.36</v>
          </cell>
          <cell r="S22">
            <v>13.31</v>
          </cell>
          <cell r="T22">
            <v>13.31</v>
          </cell>
          <cell r="U22">
            <v>13.27</v>
          </cell>
          <cell r="V22">
            <v>13.15</v>
          </cell>
          <cell r="W22">
            <v>13.02</v>
          </cell>
          <cell r="X22">
            <v>12.86</v>
          </cell>
          <cell r="Y22">
            <v>12.7</v>
          </cell>
          <cell r="AD22">
            <v>13.81</v>
          </cell>
          <cell r="AE22">
            <v>12.01</v>
          </cell>
        </row>
        <row r="23">
          <cell r="B23">
            <v>10.33</v>
          </cell>
          <cell r="C23">
            <v>10.37</v>
          </cell>
          <cell r="D23">
            <v>10.38</v>
          </cell>
          <cell r="E23">
            <v>10.37</v>
          </cell>
          <cell r="F23">
            <v>10.43</v>
          </cell>
          <cell r="G23">
            <v>10.49</v>
          </cell>
          <cell r="H23">
            <v>10.51</v>
          </cell>
          <cell r="I23">
            <v>10.51</v>
          </cell>
          <cell r="J23">
            <v>10.55</v>
          </cell>
          <cell r="K23">
            <v>10.61</v>
          </cell>
          <cell r="L23">
            <v>10.69</v>
          </cell>
          <cell r="M23">
            <v>10.89</v>
          </cell>
          <cell r="N23">
            <v>11.27</v>
          </cell>
          <cell r="O23">
            <v>11.45</v>
          </cell>
          <cell r="P23">
            <v>11.55</v>
          </cell>
          <cell r="Q23">
            <v>11.55</v>
          </cell>
          <cell r="R23">
            <v>11.46</v>
          </cell>
          <cell r="S23">
            <v>11.38</v>
          </cell>
          <cell r="T23">
            <v>11.37</v>
          </cell>
          <cell r="U23">
            <v>11.36</v>
          </cell>
          <cell r="V23">
            <v>11.32</v>
          </cell>
          <cell r="W23">
            <v>11.26</v>
          </cell>
          <cell r="X23">
            <v>11.2</v>
          </cell>
          <cell r="Y23">
            <v>11.16</v>
          </cell>
          <cell r="AD23">
            <v>11.55</v>
          </cell>
          <cell r="AE23">
            <v>10.33</v>
          </cell>
        </row>
        <row r="24">
          <cell r="B24">
            <v>10.4</v>
          </cell>
          <cell r="C24">
            <v>10.49</v>
          </cell>
          <cell r="D24">
            <v>10.47</v>
          </cell>
          <cell r="E24">
            <v>10.47</v>
          </cell>
          <cell r="F24">
            <v>10.47</v>
          </cell>
          <cell r="G24">
            <v>10.48</v>
          </cell>
          <cell r="H24">
            <v>10.48</v>
          </cell>
          <cell r="I24">
            <v>10.46</v>
          </cell>
          <cell r="J24">
            <v>10.44</v>
          </cell>
          <cell r="K24">
            <v>10.75</v>
          </cell>
          <cell r="L24">
            <v>10.81</v>
          </cell>
          <cell r="M24">
            <v>11</v>
          </cell>
          <cell r="N24">
            <v>11.35</v>
          </cell>
          <cell r="O24">
            <v>11.5</v>
          </cell>
          <cell r="P24">
            <v>11.59</v>
          </cell>
          <cell r="Q24">
            <v>11.6</v>
          </cell>
          <cell r="R24">
            <v>11.52</v>
          </cell>
          <cell r="S24">
            <v>11.45</v>
          </cell>
          <cell r="T24">
            <v>11.43</v>
          </cell>
          <cell r="U24">
            <v>11.42</v>
          </cell>
          <cell r="V24">
            <v>11.4</v>
          </cell>
          <cell r="W24">
            <v>11.35</v>
          </cell>
          <cell r="X24">
            <v>11.29</v>
          </cell>
          <cell r="Y24">
            <v>11.24</v>
          </cell>
          <cell r="AD24">
            <v>11.6</v>
          </cell>
          <cell r="AE24">
            <v>10.4</v>
          </cell>
        </row>
        <row r="25">
          <cell r="B25" t="str">
            <v>**.**</v>
          </cell>
          <cell r="C25" t="str">
            <v>**.**</v>
          </cell>
          <cell r="D25" t="str">
            <v>**.**</v>
          </cell>
          <cell r="E25" t="str">
            <v>**.**</v>
          </cell>
          <cell r="F25" t="str">
            <v>**.**</v>
          </cell>
          <cell r="G25" t="str">
            <v>**.**</v>
          </cell>
          <cell r="H25" t="str">
            <v>**.**</v>
          </cell>
          <cell r="I25" t="str">
            <v>**.**</v>
          </cell>
          <cell r="J25" t="str">
            <v>**.**</v>
          </cell>
          <cell r="K25" t="str">
            <v>**.**</v>
          </cell>
          <cell r="L25" t="str">
            <v>**.**</v>
          </cell>
          <cell r="M25" t="str">
            <v>**.**</v>
          </cell>
          <cell r="N25" t="str">
            <v>**.**</v>
          </cell>
          <cell r="O25" t="str">
            <v>**.**</v>
          </cell>
          <cell r="P25" t="str">
            <v>**.**</v>
          </cell>
          <cell r="Q25" t="str">
            <v>**.**</v>
          </cell>
          <cell r="R25" t="str">
            <v>**.**</v>
          </cell>
          <cell r="S25" t="str">
            <v>**.**</v>
          </cell>
          <cell r="T25" t="str">
            <v>**.**</v>
          </cell>
          <cell r="U25" t="str">
            <v>**.**</v>
          </cell>
          <cell r="V25" t="str">
            <v>**.**</v>
          </cell>
          <cell r="W25" t="str">
            <v>**.**</v>
          </cell>
          <cell r="X25" t="str">
            <v>**.**</v>
          </cell>
          <cell r="Y25" t="str">
            <v>**.**</v>
          </cell>
          <cell r="AD25">
            <v>0</v>
          </cell>
          <cell r="AE25">
            <v>0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 t="str">
            <v>**.**</v>
          </cell>
          <cell r="C27">
            <v>10.88</v>
          </cell>
          <cell r="D27">
            <v>10.96</v>
          </cell>
          <cell r="E27" t="str">
            <v>**.**</v>
          </cell>
          <cell r="F27" t="str">
            <v>**.**</v>
          </cell>
          <cell r="G27">
            <v>11.22</v>
          </cell>
          <cell r="H27" t="str">
            <v>**.**</v>
          </cell>
          <cell r="I27">
            <v>11.34</v>
          </cell>
          <cell r="J27" t="str">
            <v>**.**</v>
          </cell>
          <cell r="K27">
            <v>11.52</v>
          </cell>
          <cell r="L27">
            <v>11.84</v>
          </cell>
          <cell r="M27" t="str">
            <v>**.**</v>
          </cell>
          <cell r="N27">
            <v>12.82</v>
          </cell>
          <cell r="O27" t="str">
            <v>**.**</v>
          </cell>
          <cell r="P27" t="str">
            <v>**.**</v>
          </cell>
          <cell r="Q27">
            <v>12.26</v>
          </cell>
          <cell r="R27">
            <v>11.6</v>
          </cell>
          <cell r="S27" t="str">
            <v>**.**</v>
          </cell>
          <cell r="T27" t="str">
            <v>**.**</v>
          </cell>
          <cell r="U27" t="str">
            <v>**.**</v>
          </cell>
          <cell r="V27">
            <v>10.82</v>
          </cell>
          <cell r="W27">
            <v>10.84</v>
          </cell>
          <cell r="X27">
            <v>10.88</v>
          </cell>
          <cell r="Y27">
            <v>10.92</v>
          </cell>
          <cell r="AD27">
            <v>12.82</v>
          </cell>
          <cell r="AE27">
            <v>10.82</v>
          </cell>
        </row>
        <row r="28">
          <cell r="B28">
            <v>10.86</v>
          </cell>
          <cell r="C28">
            <v>10.93</v>
          </cell>
          <cell r="D28">
            <v>10.99</v>
          </cell>
          <cell r="E28">
            <v>11.06</v>
          </cell>
          <cell r="F28">
            <v>11.14</v>
          </cell>
          <cell r="G28">
            <v>11.2</v>
          </cell>
          <cell r="H28">
            <v>11.21</v>
          </cell>
          <cell r="I28">
            <v>11.23</v>
          </cell>
          <cell r="J28">
            <v>11.22</v>
          </cell>
          <cell r="K28">
            <v>11.17</v>
          </cell>
          <cell r="L28">
            <v>11.17</v>
          </cell>
          <cell r="M28">
            <v>11.08</v>
          </cell>
          <cell r="N28">
            <v>11.14</v>
          </cell>
          <cell r="O28">
            <v>11.05</v>
          </cell>
          <cell r="P28">
            <v>10.93</v>
          </cell>
          <cell r="Q28">
            <v>10.8</v>
          </cell>
          <cell r="R28">
            <v>10.71</v>
          </cell>
          <cell r="S28">
            <v>10.7</v>
          </cell>
          <cell r="T28">
            <v>10.7</v>
          </cell>
          <cell r="U28">
            <v>10.7</v>
          </cell>
          <cell r="V28">
            <v>10.71</v>
          </cell>
          <cell r="W28">
            <v>10.77</v>
          </cell>
          <cell r="X28">
            <v>10.84</v>
          </cell>
          <cell r="Y28">
            <v>10.9</v>
          </cell>
          <cell r="AD28">
            <v>11.23</v>
          </cell>
          <cell r="AE28">
            <v>10.7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10.69</v>
          </cell>
          <cell r="C30">
            <v>10.69</v>
          </cell>
          <cell r="D30">
            <v>10.69</v>
          </cell>
          <cell r="E30">
            <v>10.69</v>
          </cell>
          <cell r="F30">
            <v>10.69</v>
          </cell>
          <cell r="G30">
            <v>10.69</v>
          </cell>
          <cell r="H30">
            <v>10.7</v>
          </cell>
          <cell r="I30">
            <v>10.7</v>
          </cell>
          <cell r="J30">
            <v>10.7</v>
          </cell>
          <cell r="K30">
            <v>10.7</v>
          </cell>
          <cell r="L30">
            <v>10.7</v>
          </cell>
          <cell r="M30">
            <v>10.71</v>
          </cell>
          <cell r="N30">
            <v>10.71</v>
          </cell>
          <cell r="O30">
            <v>10.71</v>
          </cell>
          <cell r="P30">
            <v>10.72</v>
          </cell>
          <cell r="Q30">
            <v>10.72</v>
          </cell>
          <cell r="R30">
            <v>11.22</v>
          </cell>
          <cell r="S30">
            <v>11.25</v>
          </cell>
          <cell r="T30">
            <v>11.25</v>
          </cell>
          <cell r="U30">
            <v>11.22</v>
          </cell>
          <cell r="V30">
            <v>11.22</v>
          </cell>
          <cell r="W30">
            <v>11.2</v>
          </cell>
          <cell r="X30">
            <v>11.19</v>
          </cell>
          <cell r="Y30">
            <v>11.19</v>
          </cell>
          <cell r="AD30">
            <v>11.25</v>
          </cell>
          <cell r="AE30">
            <v>10.69</v>
          </cell>
        </row>
      </sheetData>
      <sheetData sheetId="15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</v>
          </cell>
          <cell r="C20">
            <v>21.69</v>
          </cell>
          <cell r="D20">
            <v>21.69</v>
          </cell>
          <cell r="E20" t="str">
            <v>**.**</v>
          </cell>
          <cell r="F20" t="str">
            <v>**.**</v>
          </cell>
          <cell r="G20">
            <v>21.42</v>
          </cell>
          <cell r="H20" t="str">
            <v>**.**</v>
          </cell>
          <cell r="I20" t="str">
            <v>**.**</v>
          </cell>
          <cell r="J20">
            <v>21.22</v>
          </cell>
          <cell r="K20" t="str">
            <v>**.**</v>
          </cell>
          <cell r="L20">
            <v>21.11</v>
          </cell>
          <cell r="M20">
            <v>21.07</v>
          </cell>
          <cell r="N20">
            <v>21.02</v>
          </cell>
          <cell r="O20">
            <v>20.98</v>
          </cell>
          <cell r="P20">
            <v>20.94</v>
          </cell>
          <cell r="Q20">
            <v>20.91</v>
          </cell>
          <cell r="R20">
            <v>20.89</v>
          </cell>
          <cell r="S20">
            <v>20.88</v>
          </cell>
          <cell r="T20">
            <v>20.88</v>
          </cell>
          <cell r="U20">
            <v>20.88</v>
          </cell>
          <cell r="V20">
            <v>20.88</v>
          </cell>
          <cell r="W20">
            <v>20.88</v>
          </cell>
          <cell r="X20">
            <v>20.88</v>
          </cell>
          <cell r="Y20">
            <v>20.88</v>
          </cell>
          <cell r="AD20">
            <v>21.7</v>
          </cell>
          <cell r="AE20">
            <v>20.88</v>
          </cell>
        </row>
        <row r="21">
          <cell r="B21">
            <v>15.92</v>
          </cell>
          <cell r="C21">
            <v>15.91</v>
          </cell>
          <cell r="D21">
            <v>15.89</v>
          </cell>
          <cell r="E21">
            <v>15.86</v>
          </cell>
          <cell r="F21">
            <v>15.84</v>
          </cell>
          <cell r="G21">
            <v>15.82</v>
          </cell>
          <cell r="H21">
            <v>15.81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15.92</v>
          </cell>
          <cell r="AE21">
            <v>15.8</v>
          </cell>
        </row>
        <row r="22">
          <cell r="B22">
            <v>12.56</v>
          </cell>
          <cell r="C22">
            <v>12.43</v>
          </cell>
          <cell r="D22">
            <v>12.29</v>
          </cell>
          <cell r="E22">
            <v>12.17</v>
          </cell>
          <cell r="F22">
            <v>12.08</v>
          </cell>
          <cell r="G22">
            <v>11.99</v>
          </cell>
          <cell r="H22">
            <v>11.96</v>
          </cell>
          <cell r="I22">
            <v>11.95</v>
          </cell>
          <cell r="J22">
            <v>11.95</v>
          </cell>
          <cell r="K22">
            <v>11.95</v>
          </cell>
          <cell r="L22">
            <v>11.95</v>
          </cell>
          <cell r="M22">
            <v>11.95</v>
          </cell>
          <cell r="N22">
            <v>11.95</v>
          </cell>
          <cell r="O22">
            <v>11.95</v>
          </cell>
          <cell r="P22">
            <v>11.95</v>
          </cell>
          <cell r="Q22">
            <v>11.95</v>
          </cell>
          <cell r="R22">
            <v>11.95</v>
          </cell>
          <cell r="S22">
            <v>11.95</v>
          </cell>
          <cell r="T22">
            <v>11.95</v>
          </cell>
          <cell r="U22">
            <v>11.95</v>
          </cell>
          <cell r="V22">
            <v>11.95</v>
          </cell>
          <cell r="W22">
            <v>11.95</v>
          </cell>
          <cell r="X22">
            <v>11.95</v>
          </cell>
          <cell r="Y22">
            <v>11.95</v>
          </cell>
          <cell r="AD22">
            <v>12.56</v>
          </cell>
          <cell r="AE22">
            <v>11.95</v>
          </cell>
        </row>
        <row r="23">
          <cell r="B23">
            <v>11.11</v>
          </cell>
          <cell r="C23">
            <v>11.06</v>
          </cell>
          <cell r="D23">
            <v>10.98</v>
          </cell>
          <cell r="E23">
            <v>10.92</v>
          </cell>
          <cell r="F23">
            <v>10.87</v>
          </cell>
          <cell r="G23">
            <v>10.84</v>
          </cell>
          <cell r="H23">
            <v>10.82</v>
          </cell>
          <cell r="I23">
            <v>10.82</v>
          </cell>
          <cell r="J23">
            <v>10.8</v>
          </cell>
          <cell r="K23">
            <v>10.75</v>
          </cell>
          <cell r="L23">
            <v>10.74</v>
          </cell>
          <cell r="M23">
            <v>10.7</v>
          </cell>
          <cell r="N23">
            <v>10.66</v>
          </cell>
          <cell r="O23">
            <v>10.61</v>
          </cell>
          <cell r="P23">
            <v>10.56</v>
          </cell>
          <cell r="Q23">
            <v>10.53</v>
          </cell>
          <cell r="R23">
            <v>10.53</v>
          </cell>
          <cell r="S23">
            <v>10.48</v>
          </cell>
          <cell r="T23">
            <v>10.48</v>
          </cell>
          <cell r="U23">
            <v>10.48</v>
          </cell>
          <cell r="V23">
            <v>10.48</v>
          </cell>
          <cell r="W23">
            <v>10.52</v>
          </cell>
          <cell r="X23">
            <v>10.55</v>
          </cell>
          <cell r="Y23">
            <v>1055</v>
          </cell>
          <cell r="AD23">
            <v>1055</v>
          </cell>
          <cell r="AE23">
            <v>10.48</v>
          </cell>
        </row>
        <row r="24">
          <cell r="B24">
            <v>11.18</v>
          </cell>
          <cell r="C24">
            <v>11.12</v>
          </cell>
          <cell r="D24">
            <v>11.06</v>
          </cell>
          <cell r="E24">
            <v>11.01</v>
          </cell>
          <cell r="F24">
            <v>10.96</v>
          </cell>
          <cell r="G24">
            <v>10.94</v>
          </cell>
          <cell r="H24">
            <v>10.93</v>
          </cell>
          <cell r="I24">
            <v>10.94</v>
          </cell>
          <cell r="J24">
            <v>10.92</v>
          </cell>
          <cell r="K24">
            <v>10.88</v>
          </cell>
          <cell r="L24">
            <v>10.87</v>
          </cell>
          <cell r="M24">
            <v>10.83</v>
          </cell>
          <cell r="N24">
            <v>10.78</v>
          </cell>
          <cell r="O24">
            <v>10.73</v>
          </cell>
          <cell r="P24">
            <v>10.68</v>
          </cell>
          <cell r="Q24">
            <v>10.65</v>
          </cell>
          <cell r="R24">
            <v>10.63</v>
          </cell>
          <cell r="S24">
            <v>10.62</v>
          </cell>
          <cell r="T24">
            <v>10.61</v>
          </cell>
          <cell r="U24">
            <v>10.6</v>
          </cell>
          <cell r="V24">
            <v>10.59</v>
          </cell>
          <cell r="W24">
            <v>10.6</v>
          </cell>
          <cell r="X24">
            <v>10.62</v>
          </cell>
          <cell r="Y24">
            <v>10.64</v>
          </cell>
          <cell r="AD24">
            <v>11.18</v>
          </cell>
          <cell r="AE24">
            <v>10.59</v>
          </cell>
        </row>
        <row r="25">
          <cell r="B25" t="str">
            <v>**.**</v>
          </cell>
          <cell r="C25" t="str">
            <v>**.**</v>
          </cell>
          <cell r="D25" t="str">
            <v>**.**</v>
          </cell>
          <cell r="E25" t="str">
            <v>**.**</v>
          </cell>
          <cell r="F25" t="str">
            <v>**.**</v>
          </cell>
          <cell r="G25" t="str">
            <v>**.**</v>
          </cell>
          <cell r="H25" t="str">
            <v>**.**</v>
          </cell>
          <cell r="I25" t="str">
            <v>**.**</v>
          </cell>
          <cell r="J25" t="str">
            <v>**.**</v>
          </cell>
          <cell r="K25" t="str">
            <v>**.**</v>
          </cell>
          <cell r="L25" t="str">
            <v>**.**</v>
          </cell>
          <cell r="M25" t="str">
            <v>**.**</v>
          </cell>
          <cell r="N25" t="str">
            <v>**.**</v>
          </cell>
          <cell r="O25" t="str">
            <v>**.**</v>
          </cell>
          <cell r="P25" t="str">
            <v>**.**</v>
          </cell>
          <cell r="Q25" t="str">
            <v>**.**</v>
          </cell>
          <cell r="R25" t="str">
            <v>**.**</v>
          </cell>
          <cell r="S25" t="str">
            <v>**.**</v>
          </cell>
          <cell r="T25" t="str">
            <v>**.**</v>
          </cell>
          <cell r="U25" t="str">
            <v>**.**</v>
          </cell>
          <cell r="V25" t="str">
            <v>**.**</v>
          </cell>
          <cell r="W25" t="str">
            <v>**.**</v>
          </cell>
          <cell r="X25" t="str">
            <v>**.**</v>
          </cell>
          <cell r="Y25" t="str">
            <v>**.**</v>
          </cell>
          <cell r="AD25">
            <v>0</v>
          </cell>
          <cell r="AE25">
            <v>0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 t="str">
            <v>**.**</v>
          </cell>
          <cell r="C27" t="str">
            <v>**.**</v>
          </cell>
          <cell r="D27">
            <v>10.94</v>
          </cell>
          <cell r="E27" t="str">
            <v>**.**</v>
          </cell>
          <cell r="F27">
            <v>11.04</v>
          </cell>
          <cell r="G27">
            <v>11.08</v>
          </cell>
          <cell r="H27" t="str">
            <v>**.**</v>
          </cell>
          <cell r="I27">
            <v>11.12</v>
          </cell>
          <cell r="J27">
            <v>11.08</v>
          </cell>
          <cell r="K27">
            <v>11.06</v>
          </cell>
          <cell r="L27" t="str">
            <v>**.**</v>
          </cell>
          <cell r="M27" t="str">
            <v>**.**</v>
          </cell>
          <cell r="N27" t="str">
            <v>**.**</v>
          </cell>
          <cell r="O27" t="str">
            <v>**.**</v>
          </cell>
          <cell r="P27">
            <v>10.62</v>
          </cell>
          <cell r="Q27">
            <v>10.56</v>
          </cell>
          <cell r="R27" t="str">
            <v>**.**</v>
          </cell>
          <cell r="S27">
            <v>10.52</v>
          </cell>
          <cell r="T27" t="str">
            <v>**.**</v>
          </cell>
          <cell r="U27" t="str">
            <v>**.**</v>
          </cell>
          <cell r="V27" t="str">
            <v>**.**</v>
          </cell>
          <cell r="W27">
            <v>10.82</v>
          </cell>
          <cell r="X27">
            <v>10.82</v>
          </cell>
          <cell r="Y27" t="str">
            <v>**.**</v>
          </cell>
          <cell r="AD27">
            <v>11.12</v>
          </cell>
          <cell r="AE27">
            <v>10.52</v>
          </cell>
        </row>
        <row r="28">
          <cell r="B28">
            <v>10.92</v>
          </cell>
          <cell r="C28">
            <v>10.94</v>
          </cell>
          <cell r="D28">
            <v>10.93</v>
          </cell>
          <cell r="E28">
            <v>10.97</v>
          </cell>
          <cell r="F28">
            <v>11.05</v>
          </cell>
          <cell r="G28">
            <v>11.11</v>
          </cell>
          <cell r="H28">
            <v>11.14</v>
          </cell>
          <cell r="I28">
            <v>11.16</v>
          </cell>
          <cell r="J28">
            <v>11.13</v>
          </cell>
          <cell r="K28">
            <v>11.1</v>
          </cell>
          <cell r="L28">
            <v>11.07</v>
          </cell>
          <cell r="M28">
            <v>10.97</v>
          </cell>
          <cell r="N28">
            <v>10.87</v>
          </cell>
          <cell r="O28">
            <v>10.75</v>
          </cell>
          <cell r="P28">
            <v>10.71</v>
          </cell>
          <cell r="Q28">
            <v>10.7</v>
          </cell>
          <cell r="R28">
            <v>10.7</v>
          </cell>
          <cell r="S28">
            <v>10.7</v>
          </cell>
          <cell r="T28">
            <v>10.7</v>
          </cell>
          <cell r="U28">
            <v>10.7</v>
          </cell>
          <cell r="V28">
            <v>10.71</v>
          </cell>
          <cell r="W28">
            <v>10.87</v>
          </cell>
          <cell r="X28">
            <v>10.87</v>
          </cell>
          <cell r="Y28">
            <v>10.9</v>
          </cell>
          <cell r="AD28">
            <v>11.16</v>
          </cell>
          <cell r="AE28">
            <v>10.7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11.16</v>
          </cell>
          <cell r="C30">
            <v>11.14</v>
          </cell>
          <cell r="D30">
            <v>11.11</v>
          </cell>
          <cell r="E30">
            <v>11.09</v>
          </cell>
          <cell r="F30">
            <v>11.07</v>
          </cell>
          <cell r="G30">
            <v>11.05</v>
          </cell>
          <cell r="H30">
            <v>11.03</v>
          </cell>
          <cell r="I30">
            <v>10.99</v>
          </cell>
          <cell r="J30">
            <v>10.99</v>
          </cell>
          <cell r="K30">
            <v>10.98</v>
          </cell>
          <cell r="L30">
            <v>10.97</v>
          </cell>
          <cell r="M30">
            <v>10.96</v>
          </cell>
          <cell r="N30">
            <v>10.95</v>
          </cell>
          <cell r="O30">
            <v>10.94</v>
          </cell>
          <cell r="P30">
            <v>10.93</v>
          </cell>
          <cell r="Q30">
            <v>10.92</v>
          </cell>
          <cell r="R30">
            <v>10.91</v>
          </cell>
          <cell r="S30">
            <v>10.9</v>
          </cell>
          <cell r="T30">
            <v>10.89</v>
          </cell>
          <cell r="U30">
            <v>10.88</v>
          </cell>
          <cell r="V30">
            <v>10.88</v>
          </cell>
          <cell r="W30">
            <v>10.86</v>
          </cell>
          <cell r="X30">
            <v>10.86</v>
          </cell>
          <cell r="Y30">
            <v>10.83</v>
          </cell>
          <cell r="AD30">
            <v>11.16</v>
          </cell>
          <cell r="AE30">
            <v>10.83</v>
          </cell>
        </row>
      </sheetData>
      <sheetData sheetId="16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20.88</v>
          </cell>
          <cell r="C20">
            <v>20.87</v>
          </cell>
          <cell r="D20">
            <v>20.87</v>
          </cell>
          <cell r="E20">
            <v>20.87</v>
          </cell>
          <cell r="F20">
            <v>20.87</v>
          </cell>
          <cell r="G20">
            <v>20.87</v>
          </cell>
          <cell r="H20">
            <v>20.87</v>
          </cell>
          <cell r="I20">
            <v>20.87</v>
          </cell>
          <cell r="J20">
            <v>20.87</v>
          </cell>
          <cell r="K20">
            <v>20.87</v>
          </cell>
          <cell r="AD20">
            <v>20.88</v>
          </cell>
          <cell r="AE20">
            <v>20.87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AD21">
            <v>15.8</v>
          </cell>
          <cell r="AE21">
            <v>15.8</v>
          </cell>
        </row>
        <row r="22">
          <cell r="B22">
            <v>11.95</v>
          </cell>
          <cell r="C22">
            <v>11.95</v>
          </cell>
          <cell r="D22">
            <v>11.95</v>
          </cell>
          <cell r="E22">
            <v>11.95</v>
          </cell>
          <cell r="F22">
            <v>11.95</v>
          </cell>
          <cell r="G22">
            <v>11.95</v>
          </cell>
          <cell r="H22">
            <v>11.95</v>
          </cell>
          <cell r="I22">
            <v>11.95</v>
          </cell>
          <cell r="J22">
            <v>11.95</v>
          </cell>
          <cell r="K22">
            <v>11.95</v>
          </cell>
          <cell r="AD22">
            <v>11.95</v>
          </cell>
          <cell r="AE22">
            <v>11.95</v>
          </cell>
        </row>
        <row r="23">
          <cell r="B23">
            <v>10.54</v>
          </cell>
          <cell r="C23">
            <v>10.54</v>
          </cell>
          <cell r="D23">
            <v>10.51</v>
          </cell>
          <cell r="E23">
            <v>10.46</v>
          </cell>
          <cell r="F23">
            <v>10.47</v>
          </cell>
          <cell r="G23">
            <v>10.46</v>
          </cell>
          <cell r="H23">
            <v>10.46</v>
          </cell>
          <cell r="I23">
            <v>10.48</v>
          </cell>
          <cell r="J23">
            <v>10.45</v>
          </cell>
          <cell r="K23">
            <v>10.47</v>
          </cell>
          <cell r="AD23">
            <v>10.54</v>
          </cell>
          <cell r="AE23">
            <v>10.45</v>
          </cell>
        </row>
        <row r="24">
          <cell r="B24">
            <v>10.64</v>
          </cell>
          <cell r="C24">
            <v>10.65</v>
          </cell>
          <cell r="D24">
            <v>10.64</v>
          </cell>
          <cell r="E24">
            <v>10.62</v>
          </cell>
          <cell r="F24">
            <v>10.63</v>
          </cell>
          <cell r="G24">
            <v>10.63</v>
          </cell>
          <cell r="H24">
            <v>10.65</v>
          </cell>
          <cell r="I24">
            <v>10.67</v>
          </cell>
          <cell r="J24">
            <v>10.64</v>
          </cell>
          <cell r="K24">
            <v>10.67</v>
          </cell>
          <cell r="AD24">
            <v>10.67</v>
          </cell>
          <cell r="AE24">
            <v>10.62</v>
          </cell>
        </row>
        <row r="25">
          <cell r="B25" t="str">
            <v>**.**</v>
          </cell>
          <cell r="C25" t="str">
            <v>**.**</v>
          </cell>
          <cell r="D25" t="str">
            <v>**.**</v>
          </cell>
          <cell r="E25" t="str">
            <v>**.**</v>
          </cell>
          <cell r="F25" t="str">
            <v>**.**</v>
          </cell>
          <cell r="G25" t="str">
            <v>**.**</v>
          </cell>
          <cell r="H25" t="str">
            <v>**.**</v>
          </cell>
          <cell r="I25" t="str">
            <v>**.**</v>
          </cell>
          <cell r="J25" t="str">
            <v>**.**</v>
          </cell>
          <cell r="K25" t="str">
            <v>**.**</v>
          </cell>
          <cell r="AD25">
            <v>0</v>
          </cell>
          <cell r="AE25">
            <v>0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AD26">
            <v>0</v>
          </cell>
          <cell r="AE26">
            <v>0</v>
          </cell>
        </row>
        <row r="27">
          <cell r="B27" t="str">
            <v>**.**</v>
          </cell>
          <cell r="C27">
            <v>10.89</v>
          </cell>
          <cell r="D27" t="str">
            <v>**.**</v>
          </cell>
          <cell r="E27">
            <v>10.84</v>
          </cell>
          <cell r="F27">
            <v>10.88</v>
          </cell>
          <cell r="G27">
            <v>10.9</v>
          </cell>
          <cell r="H27">
            <v>10.96</v>
          </cell>
          <cell r="I27">
            <v>10.98</v>
          </cell>
          <cell r="J27" t="str">
            <v>**.**</v>
          </cell>
          <cell r="K27" t="str">
            <v>**.**</v>
          </cell>
          <cell r="AD27">
            <v>10.98</v>
          </cell>
          <cell r="AE27">
            <v>10.84</v>
          </cell>
        </row>
        <row r="28">
          <cell r="B28">
            <v>10.91</v>
          </cell>
          <cell r="C28">
            <v>10.91</v>
          </cell>
          <cell r="D28">
            <v>10.89</v>
          </cell>
          <cell r="E28">
            <v>10.9</v>
          </cell>
          <cell r="F28">
            <v>10.94</v>
          </cell>
          <cell r="G28">
            <v>10.97</v>
          </cell>
          <cell r="H28">
            <v>11.02</v>
          </cell>
          <cell r="I28">
            <v>11.04</v>
          </cell>
          <cell r="J28">
            <v>11.06</v>
          </cell>
          <cell r="K28">
            <v>11.08</v>
          </cell>
          <cell r="AD28">
            <v>11.08</v>
          </cell>
          <cell r="AE28">
            <v>10.89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AD29">
            <v>0</v>
          </cell>
          <cell r="AE29">
            <v>0</v>
          </cell>
        </row>
        <row r="30">
          <cell r="B30">
            <v>10.85</v>
          </cell>
          <cell r="C30">
            <v>10.84</v>
          </cell>
          <cell r="D30">
            <v>10.83</v>
          </cell>
          <cell r="E30">
            <v>10.83</v>
          </cell>
          <cell r="F30">
            <v>10.82</v>
          </cell>
          <cell r="G30">
            <v>10.82</v>
          </cell>
          <cell r="H30">
            <v>10.81</v>
          </cell>
          <cell r="I30">
            <v>10.81</v>
          </cell>
          <cell r="J30">
            <v>10.81</v>
          </cell>
          <cell r="K30">
            <v>10.81</v>
          </cell>
          <cell r="AD30">
            <v>10.85</v>
          </cell>
          <cell r="AE30">
            <v>10.81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20.85</v>
          </cell>
          <cell r="C20">
            <v>20.85</v>
          </cell>
          <cell r="D20">
            <v>20.85</v>
          </cell>
          <cell r="E20">
            <v>20.85</v>
          </cell>
          <cell r="F20">
            <v>20.85</v>
          </cell>
          <cell r="G20">
            <v>20.85</v>
          </cell>
          <cell r="H20">
            <v>20.85</v>
          </cell>
          <cell r="I20">
            <v>20.85</v>
          </cell>
          <cell r="J20">
            <v>20.85</v>
          </cell>
          <cell r="AD20">
            <v>20.85</v>
          </cell>
          <cell r="AE20">
            <v>20.85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AD21">
            <v>15.8</v>
          </cell>
          <cell r="AE21">
            <v>15.8</v>
          </cell>
        </row>
        <row r="22">
          <cell r="B22">
            <v>11.95</v>
          </cell>
          <cell r="C22">
            <v>11.95</v>
          </cell>
          <cell r="D22">
            <v>11.95</v>
          </cell>
          <cell r="E22">
            <v>11.95</v>
          </cell>
          <cell r="F22">
            <v>11.95</v>
          </cell>
          <cell r="G22">
            <v>11.95</v>
          </cell>
          <cell r="H22">
            <v>11.95</v>
          </cell>
          <cell r="I22">
            <v>11.95</v>
          </cell>
          <cell r="J22">
            <v>11.95</v>
          </cell>
          <cell r="AD22">
            <v>11.95</v>
          </cell>
          <cell r="AE22">
            <v>11.95</v>
          </cell>
        </row>
        <row r="23">
          <cell r="B23">
            <v>10.5</v>
          </cell>
          <cell r="C23">
            <v>10.52</v>
          </cell>
          <cell r="D23">
            <v>10.51</v>
          </cell>
          <cell r="E23">
            <v>10.48</v>
          </cell>
          <cell r="F23">
            <v>10.39</v>
          </cell>
          <cell r="G23">
            <v>10.32</v>
          </cell>
          <cell r="H23">
            <v>10.17</v>
          </cell>
          <cell r="I23">
            <v>10.16</v>
          </cell>
          <cell r="AD23">
            <v>10.52</v>
          </cell>
          <cell r="AE23">
            <v>10.16</v>
          </cell>
        </row>
        <row r="24">
          <cell r="B24">
            <v>10.72</v>
          </cell>
          <cell r="C24">
            <v>10.75</v>
          </cell>
          <cell r="D24">
            <v>10.75</v>
          </cell>
          <cell r="E24">
            <v>10.71</v>
          </cell>
          <cell r="F24">
            <v>10.66</v>
          </cell>
          <cell r="G24">
            <v>10.59</v>
          </cell>
          <cell r="H24">
            <v>10.53</v>
          </cell>
          <cell r="I24">
            <v>10.53</v>
          </cell>
          <cell r="AD24">
            <v>10.75</v>
          </cell>
          <cell r="AE24">
            <v>10.53</v>
          </cell>
        </row>
        <row r="25">
          <cell r="B25" t="str">
            <v>**.**</v>
          </cell>
          <cell r="C25" t="str">
            <v>**.**</v>
          </cell>
          <cell r="D25" t="str">
            <v>**.**</v>
          </cell>
          <cell r="E25" t="str">
            <v>**.**</v>
          </cell>
          <cell r="F25" t="str">
            <v>**.**</v>
          </cell>
          <cell r="G25" t="str">
            <v>**.**</v>
          </cell>
          <cell r="H25" t="str">
            <v>**.**</v>
          </cell>
          <cell r="I25" t="str">
            <v>**.**</v>
          </cell>
          <cell r="J25" t="str">
            <v>**.**</v>
          </cell>
          <cell r="K25" t="str">
            <v>**.**</v>
          </cell>
          <cell r="L25" t="str">
            <v>**.**</v>
          </cell>
          <cell r="M25" t="str">
            <v>**.**</v>
          </cell>
          <cell r="N25" t="str">
            <v>**.**</v>
          </cell>
          <cell r="O25" t="str">
            <v>**.**</v>
          </cell>
          <cell r="P25" t="str">
            <v>**.**</v>
          </cell>
          <cell r="Q25" t="str">
            <v>**.**</v>
          </cell>
          <cell r="R25" t="str">
            <v>**.**</v>
          </cell>
          <cell r="S25" t="str">
            <v>**.**</v>
          </cell>
          <cell r="T25" t="str">
            <v>**.**</v>
          </cell>
          <cell r="U25" t="str">
            <v>**.**</v>
          </cell>
          <cell r="V25" t="str">
            <v>**.**</v>
          </cell>
          <cell r="W25" t="str">
            <v>**.**</v>
          </cell>
          <cell r="X25" t="str">
            <v>**.**</v>
          </cell>
          <cell r="Y25" t="str">
            <v>**.**</v>
          </cell>
          <cell r="AD25">
            <v>0</v>
          </cell>
          <cell r="AE25">
            <v>0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11.22</v>
          </cell>
          <cell r="C27" t="str">
            <v>**.**</v>
          </cell>
          <cell r="D27">
            <v>11.18</v>
          </cell>
          <cell r="E27">
            <v>11.08</v>
          </cell>
          <cell r="F27">
            <v>10.72</v>
          </cell>
          <cell r="G27">
            <v>10.74</v>
          </cell>
          <cell r="H27" t="str">
            <v>**.**</v>
          </cell>
          <cell r="I27">
            <v>10.54</v>
          </cell>
          <cell r="AD27">
            <v>11.22</v>
          </cell>
          <cell r="AE27">
            <v>10.54</v>
          </cell>
        </row>
        <row r="28">
          <cell r="B28">
            <v>11.28</v>
          </cell>
          <cell r="C28">
            <v>11.28</v>
          </cell>
          <cell r="D28">
            <v>11.23</v>
          </cell>
          <cell r="E28">
            <v>11.13</v>
          </cell>
          <cell r="F28">
            <v>10.94</v>
          </cell>
          <cell r="G28">
            <v>10.7</v>
          </cell>
          <cell r="H28">
            <v>10.71</v>
          </cell>
          <cell r="AD28">
            <v>11.28</v>
          </cell>
          <cell r="AE28">
            <v>10.7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10.77</v>
          </cell>
          <cell r="C30">
            <v>10.77</v>
          </cell>
          <cell r="D30">
            <v>10.77</v>
          </cell>
          <cell r="E30">
            <v>10.77</v>
          </cell>
          <cell r="F30">
            <v>10.77</v>
          </cell>
          <cell r="G30">
            <v>10.77</v>
          </cell>
          <cell r="H30">
            <v>10.77</v>
          </cell>
          <cell r="I30">
            <v>10.77</v>
          </cell>
          <cell r="J30">
            <v>10.77</v>
          </cell>
          <cell r="AD30">
            <v>10.77</v>
          </cell>
          <cell r="AE30">
            <v>10.77</v>
          </cell>
        </row>
      </sheetData>
      <sheetData sheetId="22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**.**</v>
          </cell>
          <cell r="C20" t="str">
            <v>**.**</v>
          </cell>
          <cell r="D20" t="str">
            <v>**.**</v>
          </cell>
          <cell r="E20" t="str">
            <v>**.**</v>
          </cell>
          <cell r="F20" t="str">
            <v>**.**</v>
          </cell>
          <cell r="G20" t="str">
            <v>**.**</v>
          </cell>
          <cell r="H20">
            <v>20.85</v>
          </cell>
          <cell r="I20">
            <v>20.85</v>
          </cell>
          <cell r="J20">
            <v>20.85</v>
          </cell>
          <cell r="AD20">
            <v>20.85</v>
          </cell>
          <cell r="AE20">
            <v>20.85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AD21">
            <v>15.8</v>
          </cell>
          <cell r="AE21">
            <v>15.8</v>
          </cell>
        </row>
        <row r="22">
          <cell r="B22">
            <v>11.95</v>
          </cell>
          <cell r="C22">
            <v>11.95</v>
          </cell>
          <cell r="D22">
            <v>11.95</v>
          </cell>
          <cell r="E22">
            <v>11.95</v>
          </cell>
          <cell r="F22">
            <v>11.95</v>
          </cell>
          <cell r="G22">
            <v>11.95</v>
          </cell>
          <cell r="H22">
            <v>11.95</v>
          </cell>
          <cell r="I22">
            <v>11.95</v>
          </cell>
          <cell r="J22">
            <v>11.95</v>
          </cell>
          <cell r="AD22">
            <v>11.95</v>
          </cell>
          <cell r="AE22">
            <v>11.95</v>
          </cell>
        </row>
        <row r="23">
          <cell r="B23">
            <v>10.54</v>
          </cell>
          <cell r="C23">
            <v>10.55</v>
          </cell>
          <cell r="D23">
            <v>10.55</v>
          </cell>
          <cell r="E23">
            <v>10.57</v>
          </cell>
          <cell r="F23">
            <v>10.54</v>
          </cell>
          <cell r="G23">
            <v>10.41</v>
          </cell>
          <cell r="H23">
            <v>10.27</v>
          </cell>
          <cell r="I23">
            <v>10.34</v>
          </cell>
          <cell r="AD23">
            <v>10.57</v>
          </cell>
          <cell r="AE23">
            <v>10.27</v>
          </cell>
        </row>
        <row r="24">
          <cell r="B24">
            <v>10.75</v>
          </cell>
          <cell r="C24">
            <v>1076</v>
          </cell>
          <cell r="D24">
            <v>10.79</v>
          </cell>
          <cell r="E24">
            <v>10.78</v>
          </cell>
          <cell r="F24">
            <v>10.74</v>
          </cell>
          <cell r="G24">
            <v>10.65</v>
          </cell>
          <cell r="H24">
            <v>10.55</v>
          </cell>
          <cell r="I24">
            <v>10.56</v>
          </cell>
          <cell r="AD24">
            <v>1076</v>
          </cell>
          <cell r="AE24">
            <v>10.55</v>
          </cell>
        </row>
        <row r="25">
          <cell r="B25" t="str">
            <v>**.**</v>
          </cell>
          <cell r="C25" t="str">
            <v>**.**</v>
          </cell>
          <cell r="D25" t="str">
            <v>**.**</v>
          </cell>
          <cell r="E25" t="str">
            <v>**.**</v>
          </cell>
          <cell r="F25" t="str">
            <v>**.**</v>
          </cell>
          <cell r="G25" t="str">
            <v>**.**</v>
          </cell>
          <cell r="H25" t="str">
            <v>**.**</v>
          </cell>
          <cell r="I25" t="str">
            <v>**.**</v>
          </cell>
          <cell r="J25" t="str">
            <v>**.**</v>
          </cell>
          <cell r="K25" t="str">
            <v>**.**</v>
          </cell>
          <cell r="L25" t="str">
            <v>**.**</v>
          </cell>
          <cell r="M25" t="str">
            <v>**.**</v>
          </cell>
          <cell r="N25" t="str">
            <v>**.**</v>
          </cell>
          <cell r="O25" t="str">
            <v>**.**</v>
          </cell>
          <cell r="P25" t="str">
            <v>**.**</v>
          </cell>
          <cell r="Q25" t="str">
            <v>**.**</v>
          </cell>
          <cell r="R25" t="str">
            <v>**.**</v>
          </cell>
          <cell r="S25" t="str">
            <v>**.**</v>
          </cell>
          <cell r="T25" t="str">
            <v>**.**</v>
          </cell>
          <cell r="U25" t="str">
            <v>**.**</v>
          </cell>
          <cell r="V25" t="str">
            <v>**.**</v>
          </cell>
          <cell r="W25" t="str">
            <v>**.**</v>
          </cell>
          <cell r="X25" t="str">
            <v>**.**</v>
          </cell>
          <cell r="Y25" t="str">
            <v>**.**</v>
          </cell>
          <cell r="AD25">
            <v>0</v>
          </cell>
          <cell r="AE25">
            <v>0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11.28</v>
          </cell>
          <cell r="C27">
            <v>11.32</v>
          </cell>
          <cell r="D27">
            <v>11.32</v>
          </cell>
          <cell r="E27">
            <v>11.28</v>
          </cell>
          <cell r="F27" t="str">
            <v>**.**</v>
          </cell>
          <cell r="G27" t="str">
            <v>**.**</v>
          </cell>
          <cell r="H27">
            <v>10.7</v>
          </cell>
          <cell r="I27" t="str">
            <v>**.**</v>
          </cell>
          <cell r="AD27">
            <v>11.32</v>
          </cell>
          <cell r="AE27">
            <v>10.7</v>
          </cell>
        </row>
        <row r="28">
          <cell r="B28" t="str">
            <v>**.**</v>
          </cell>
          <cell r="C28">
            <v>11.38</v>
          </cell>
          <cell r="D28">
            <v>11.38</v>
          </cell>
          <cell r="E28">
            <v>11.31</v>
          </cell>
          <cell r="F28">
            <v>11.16</v>
          </cell>
          <cell r="G28">
            <v>10.9</v>
          </cell>
          <cell r="H28">
            <v>10.75</v>
          </cell>
          <cell r="I28">
            <v>10.71</v>
          </cell>
          <cell r="AD28">
            <v>11.38</v>
          </cell>
          <cell r="AE28">
            <v>10.71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10.78</v>
          </cell>
          <cell r="C30">
            <v>10.78</v>
          </cell>
          <cell r="D30">
            <v>10.78</v>
          </cell>
          <cell r="E30">
            <v>10.78</v>
          </cell>
          <cell r="F30">
            <v>10.78</v>
          </cell>
          <cell r="G30">
            <v>10.78</v>
          </cell>
          <cell r="H30">
            <v>10.78</v>
          </cell>
          <cell r="I30">
            <v>10.78</v>
          </cell>
          <cell r="AD30">
            <v>10.78</v>
          </cell>
          <cell r="AE30">
            <v>10.78</v>
          </cell>
        </row>
      </sheetData>
      <sheetData sheetId="23" refreshError="1"/>
      <sheetData sheetId="24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20.85</v>
          </cell>
          <cell r="C20">
            <v>20.85</v>
          </cell>
          <cell r="D20">
            <v>20.85</v>
          </cell>
          <cell r="E20">
            <v>20.85</v>
          </cell>
          <cell r="F20">
            <v>20.85</v>
          </cell>
          <cell r="G20">
            <v>20.85</v>
          </cell>
          <cell r="H20">
            <v>20.85</v>
          </cell>
          <cell r="I20">
            <v>20.85</v>
          </cell>
          <cell r="J20">
            <v>20.85</v>
          </cell>
          <cell r="AD20">
            <v>20.85</v>
          </cell>
          <cell r="AE20">
            <v>20.85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AD21">
            <v>15.8</v>
          </cell>
          <cell r="AE21">
            <v>15.8</v>
          </cell>
        </row>
        <row r="22">
          <cell r="B22">
            <v>11.94</v>
          </cell>
          <cell r="C22">
            <v>11.94</v>
          </cell>
          <cell r="D22">
            <v>11.94</v>
          </cell>
          <cell r="E22">
            <v>11.94</v>
          </cell>
          <cell r="F22">
            <v>11.94</v>
          </cell>
          <cell r="G22">
            <v>11.94</v>
          </cell>
          <cell r="H22">
            <v>11.94</v>
          </cell>
          <cell r="I22">
            <v>11.94</v>
          </cell>
          <cell r="J22">
            <v>11.94</v>
          </cell>
          <cell r="AD22">
            <v>11.94</v>
          </cell>
          <cell r="AE22">
            <v>11.94</v>
          </cell>
        </row>
        <row r="23">
          <cell r="B23">
            <v>10.61</v>
          </cell>
          <cell r="C23">
            <v>10.65</v>
          </cell>
          <cell r="D23">
            <v>10.68</v>
          </cell>
          <cell r="E23">
            <v>10.7</v>
          </cell>
          <cell r="F23">
            <v>10.69</v>
          </cell>
          <cell r="G23">
            <v>10.64</v>
          </cell>
          <cell r="H23">
            <v>10.52</v>
          </cell>
          <cell r="I23">
            <v>10.4</v>
          </cell>
          <cell r="AD23">
            <v>10.7</v>
          </cell>
          <cell r="AE23">
            <v>10.4</v>
          </cell>
        </row>
        <row r="24">
          <cell r="B24">
            <v>10.81</v>
          </cell>
          <cell r="C24">
            <v>10.85</v>
          </cell>
          <cell r="D24">
            <v>10.88</v>
          </cell>
          <cell r="E24">
            <v>10.88</v>
          </cell>
          <cell r="F24">
            <v>10.87</v>
          </cell>
          <cell r="G24">
            <v>10.82</v>
          </cell>
          <cell r="H24">
            <v>10.73</v>
          </cell>
          <cell r="I24">
            <v>10.63</v>
          </cell>
          <cell r="AD24">
            <v>10.88</v>
          </cell>
          <cell r="AE24">
            <v>10.63</v>
          </cell>
        </row>
        <row r="25">
          <cell r="B25" t="str">
            <v>**.**</v>
          </cell>
          <cell r="C25" t="str">
            <v>**.**</v>
          </cell>
          <cell r="D25" t="str">
            <v>**.**</v>
          </cell>
          <cell r="E25" t="str">
            <v>**.**</v>
          </cell>
          <cell r="F25" t="str">
            <v>**.**</v>
          </cell>
          <cell r="G25" t="str">
            <v>**.**</v>
          </cell>
          <cell r="H25" t="str">
            <v>**.**</v>
          </cell>
          <cell r="I25" t="str">
            <v>**.**</v>
          </cell>
          <cell r="J25" t="str">
            <v>**.**</v>
          </cell>
          <cell r="K25" t="str">
            <v>**.**</v>
          </cell>
          <cell r="L25" t="str">
            <v>**.**</v>
          </cell>
          <cell r="M25" t="str">
            <v>**.**</v>
          </cell>
          <cell r="N25" t="str">
            <v>**.**</v>
          </cell>
          <cell r="O25" t="str">
            <v>**.**</v>
          </cell>
          <cell r="P25" t="str">
            <v>**.**</v>
          </cell>
          <cell r="Q25" t="str">
            <v>**.**</v>
          </cell>
          <cell r="R25" t="str">
            <v>**.**</v>
          </cell>
          <cell r="S25" t="str">
            <v>**.**</v>
          </cell>
          <cell r="T25" t="str">
            <v>**.**</v>
          </cell>
          <cell r="U25" t="str">
            <v>**.**</v>
          </cell>
          <cell r="V25" t="str">
            <v>**.**</v>
          </cell>
          <cell r="W25" t="str">
            <v>**.**</v>
          </cell>
          <cell r="X25" t="str">
            <v>**.**</v>
          </cell>
          <cell r="Y25" t="str">
            <v>**.**</v>
          </cell>
          <cell r="AD25">
            <v>0</v>
          </cell>
          <cell r="AE25">
            <v>0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11.3</v>
          </cell>
          <cell r="C27">
            <v>11.4</v>
          </cell>
          <cell r="D27" t="str">
            <v>**.**</v>
          </cell>
          <cell r="E27" t="str">
            <v>**.**</v>
          </cell>
          <cell r="F27">
            <v>11.32</v>
          </cell>
          <cell r="G27">
            <v>11.16</v>
          </cell>
          <cell r="H27" t="str">
            <v>**.**</v>
          </cell>
          <cell r="I27" t="str">
            <v>**.**</v>
          </cell>
          <cell r="AD27">
            <v>11.4</v>
          </cell>
          <cell r="AE27">
            <v>11.16</v>
          </cell>
        </row>
        <row r="28">
          <cell r="B28">
            <v>11.37</v>
          </cell>
          <cell r="C28">
            <v>11.46</v>
          </cell>
          <cell r="D28" t="str">
            <v>**.**</v>
          </cell>
          <cell r="E28">
            <v>11.46</v>
          </cell>
          <cell r="F28">
            <v>11.38</v>
          </cell>
          <cell r="G28">
            <v>11.18</v>
          </cell>
          <cell r="H28">
            <v>10.94</v>
          </cell>
          <cell r="I28">
            <v>10.74</v>
          </cell>
          <cell r="AD28">
            <v>11.46</v>
          </cell>
          <cell r="AE28">
            <v>10.74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10.8</v>
          </cell>
          <cell r="C30">
            <v>10.81</v>
          </cell>
          <cell r="D30">
            <v>10.81</v>
          </cell>
          <cell r="E30">
            <v>10.81</v>
          </cell>
          <cell r="F30">
            <v>10.81</v>
          </cell>
          <cell r="G30">
            <v>10.81</v>
          </cell>
          <cell r="H30">
            <v>10.81</v>
          </cell>
          <cell r="I30">
            <v>10.81</v>
          </cell>
          <cell r="AD30">
            <v>10.81</v>
          </cell>
          <cell r="AE30">
            <v>10.8</v>
          </cell>
        </row>
      </sheetData>
      <sheetData sheetId="25" refreshError="1"/>
      <sheetData sheetId="26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20.85</v>
          </cell>
          <cell r="C20">
            <v>20.85</v>
          </cell>
          <cell r="D20">
            <v>20.85</v>
          </cell>
          <cell r="E20">
            <v>20.85</v>
          </cell>
          <cell r="F20">
            <v>20.85</v>
          </cell>
          <cell r="G20">
            <v>20.85</v>
          </cell>
          <cell r="H20">
            <v>20.85</v>
          </cell>
          <cell r="I20">
            <v>20.85</v>
          </cell>
          <cell r="J20">
            <v>20.85</v>
          </cell>
          <cell r="AD20">
            <v>20.85</v>
          </cell>
          <cell r="AE20">
            <v>20.85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AD21">
            <v>15.8</v>
          </cell>
          <cell r="AE21">
            <v>15.8</v>
          </cell>
        </row>
        <row r="22">
          <cell r="B22">
            <v>11.94</v>
          </cell>
          <cell r="C22">
            <v>11.94</v>
          </cell>
          <cell r="D22">
            <v>11.94</v>
          </cell>
          <cell r="E22">
            <v>11.94</v>
          </cell>
          <cell r="F22">
            <v>11.94</v>
          </cell>
          <cell r="G22">
            <v>11.94</v>
          </cell>
          <cell r="H22">
            <v>11.94</v>
          </cell>
          <cell r="I22">
            <v>11.94</v>
          </cell>
          <cell r="J22">
            <v>11.94</v>
          </cell>
          <cell r="AD22">
            <v>11.94</v>
          </cell>
          <cell r="AE22">
            <v>11.94</v>
          </cell>
        </row>
        <row r="23">
          <cell r="B23">
            <v>10.61</v>
          </cell>
          <cell r="C23">
            <v>10.64</v>
          </cell>
          <cell r="D23">
            <v>10.68</v>
          </cell>
          <cell r="E23">
            <v>10.71</v>
          </cell>
          <cell r="F23">
            <v>10.71</v>
          </cell>
          <cell r="G23">
            <v>10.72</v>
          </cell>
          <cell r="H23">
            <v>10.7</v>
          </cell>
          <cell r="I23">
            <v>10.61</v>
          </cell>
          <cell r="AD23">
            <v>10.72</v>
          </cell>
          <cell r="AE23">
            <v>10.61</v>
          </cell>
        </row>
        <row r="24">
          <cell r="B24">
            <v>10.76</v>
          </cell>
          <cell r="C24">
            <v>10.8</v>
          </cell>
          <cell r="D24">
            <v>10.85</v>
          </cell>
          <cell r="E24">
            <v>10.88</v>
          </cell>
          <cell r="F24">
            <v>10.89</v>
          </cell>
          <cell r="G24">
            <v>10.89</v>
          </cell>
          <cell r="H24">
            <v>10.86</v>
          </cell>
          <cell r="I24">
            <v>10.81</v>
          </cell>
          <cell r="AD24">
            <v>10.89</v>
          </cell>
          <cell r="AE24">
            <v>10.76</v>
          </cell>
        </row>
        <row r="25">
          <cell r="B25" t="str">
            <v>**.**</v>
          </cell>
          <cell r="C25" t="str">
            <v>**.**</v>
          </cell>
          <cell r="D25" t="str">
            <v>**.**</v>
          </cell>
          <cell r="E25" t="str">
            <v>**.**</v>
          </cell>
          <cell r="F25" t="str">
            <v>**.**</v>
          </cell>
          <cell r="G25" t="str">
            <v>**.**</v>
          </cell>
          <cell r="H25" t="str">
            <v>**.**</v>
          </cell>
          <cell r="I25" t="str">
            <v>**.**</v>
          </cell>
          <cell r="J25" t="str">
            <v>**.**</v>
          </cell>
          <cell r="K25" t="str">
            <v>**.**</v>
          </cell>
          <cell r="L25" t="str">
            <v>**.**</v>
          </cell>
          <cell r="M25" t="str">
            <v>**.**</v>
          </cell>
          <cell r="N25" t="str">
            <v>**.**</v>
          </cell>
          <cell r="O25" t="str">
            <v>**.**</v>
          </cell>
          <cell r="P25" t="str">
            <v>**.**</v>
          </cell>
          <cell r="Q25" t="str">
            <v>**.**</v>
          </cell>
          <cell r="R25" t="str">
            <v>**.**</v>
          </cell>
          <cell r="S25" t="str">
            <v>**.**</v>
          </cell>
          <cell r="T25" t="str">
            <v>**.**</v>
          </cell>
          <cell r="U25" t="str">
            <v>**.**</v>
          </cell>
          <cell r="V25" t="str">
            <v>**.**</v>
          </cell>
          <cell r="W25" t="str">
            <v>**.**</v>
          </cell>
          <cell r="X25" t="str">
            <v>**.**</v>
          </cell>
          <cell r="Y25" t="str">
            <v>**.**</v>
          </cell>
          <cell r="AD25">
            <v>0</v>
          </cell>
          <cell r="AE25">
            <v>0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 t="str">
            <v>**.**</v>
          </cell>
          <cell r="C27">
            <v>11.26</v>
          </cell>
          <cell r="D27">
            <v>11.38</v>
          </cell>
          <cell r="E27">
            <v>11.4</v>
          </cell>
          <cell r="F27">
            <v>11.42</v>
          </cell>
          <cell r="G27">
            <v>11.36</v>
          </cell>
          <cell r="H27">
            <v>11.26</v>
          </cell>
          <cell r="I27">
            <v>11.04</v>
          </cell>
          <cell r="AD27">
            <v>11.42</v>
          </cell>
          <cell r="AE27">
            <v>11.04</v>
          </cell>
        </row>
        <row r="28">
          <cell r="B28">
            <v>11.21</v>
          </cell>
          <cell r="C28">
            <v>11.34</v>
          </cell>
          <cell r="D28">
            <v>11.44</v>
          </cell>
          <cell r="E28">
            <v>11.48</v>
          </cell>
          <cell r="F28">
            <v>11.47</v>
          </cell>
          <cell r="G28">
            <v>11.42</v>
          </cell>
          <cell r="H28">
            <v>11.3</v>
          </cell>
          <cell r="I28">
            <v>11.08</v>
          </cell>
          <cell r="AD28">
            <v>11.48</v>
          </cell>
          <cell r="AE28">
            <v>11.08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10.82</v>
          </cell>
          <cell r="C30">
            <v>10.82</v>
          </cell>
          <cell r="D30">
            <v>10.82</v>
          </cell>
          <cell r="E30">
            <v>10.82</v>
          </cell>
          <cell r="F30">
            <v>10.82</v>
          </cell>
          <cell r="G30">
            <v>10.82</v>
          </cell>
          <cell r="H30">
            <v>10.82</v>
          </cell>
          <cell r="I30">
            <v>10.82</v>
          </cell>
          <cell r="J30">
            <v>10.82</v>
          </cell>
          <cell r="AD30">
            <v>10.82</v>
          </cell>
          <cell r="AE30">
            <v>10.82</v>
          </cell>
        </row>
      </sheetData>
      <sheetData sheetId="27" refreshError="1">
        <row r="19">
          <cell r="B19">
            <v>0.375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F20">
            <v>20.85</v>
          </cell>
          <cell r="G20">
            <v>20.85</v>
          </cell>
          <cell r="H20">
            <v>20.85</v>
          </cell>
          <cell r="I20">
            <v>20.85</v>
          </cell>
          <cell r="AD20">
            <v>20.85</v>
          </cell>
          <cell r="AE20">
            <v>20.85</v>
          </cell>
        </row>
        <row r="21"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AD21">
            <v>15.8</v>
          </cell>
          <cell r="AE21">
            <v>15.8</v>
          </cell>
        </row>
        <row r="22">
          <cell r="F22">
            <v>11.94</v>
          </cell>
          <cell r="G22">
            <v>11.94</v>
          </cell>
          <cell r="H22">
            <v>11.94</v>
          </cell>
          <cell r="I22">
            <v>11.94</v>
          </cell>
          <cell r="AD22">
            <v>11.94</v>
          </cell>
          <cell r="AE22">
            <v>11.94</v>
          </cell>
        </row>
        <row r="23">
          <cell r="F23">
            <v>10.79</v>
          </cell>
          <cell r="G23">
            <v>10.81</v>
          </cell>
          <cell r="H23">
            <v>10.83</v>
          </cell>
          <cell r="I23">
            <v>10.68</v>
          </cell>
          <cell r="AD23">
            <v>10.83</v>
          </cell>
          <cell r="AE23">
            <v>10.68</v>
          </cell>
        </row>
        <row r="24">
          <cell r="AD24">
            <v>0</v>
          </cell>
          <cell r="AE24">
            <v>0</v>
          </cell>
        </row>
        <row r="25">
          <cell r="F25" t="str">
            <v>**.**</v>
          </cell>
          <cell r="G25" t="str">
            <v>**.**</v>
          </cell>
          <cell r="H25" t="str">
            <v>**.**</v>
          </cell>
          <cell r="I25" t="str">
            <v>**.**</v>
          </cell>
          <cell r="J25" t="str">
            <v>**.**</v>
          </cell>
          <cell r="K25" t="str">
            <v>**.**</v>
          </cell>
          <cell r="L25" t="str">
            <v>**.**</v>
          </cell>
          <cell r="M25" t="str">
            <v>**.**</v>
          </cell>
          <cell r="N25" t="str">
            <v>**.**</v>
          </cell>
          <cell r="O25" t="str">
            <v>**.**</v>
          </cell>
          <cell r="P25" t="str">
            <v>**.**</v>
          </cell>
          <cell r="Q25" t="str">
            <v>**.**</v>
          </cell>
          <cell r="R25" t="str">
            <v>**.**</v>
          </cell>
          <cell r="S25" t="str">
            <v>**.**</v>
          </cell>
          <cell r="T25" t="str">
            <v>**.**</v>
          </cell>
          <cell r="U25" t="str">
            <v>**.**</v>
          </cell>
          <cell r="V25" t="str">
            <v>**.**</v>
          </cell>
          <cell r="W25" t="str">
            <v>**.**</v>
          </cell>
          <cell r="X25" t="str">
            <v>**.**</v>
          </cell>
          <cell r="Y25" t="str">
            <v>**.**</v>
          </cell>
          <cell r="AD25">
            <v>0</v>
          </cell>
          <cell r="AE25">
            <v>0</v>
          </cell>
        </row>
        <row r="26"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F27">
            <v>11.4</v>
          </cell>
          <cell r="H27">
            <v>11.62</v>
          </cell>
          <cell r="I27">
            <v>11.2</v>
          </cell>
          <cell r="AD27">
            <v>11.62</v>
          </cell>
          <cell r="AE27">
            <v>11.2</v>
          </cell>
        </row>
        <row r="28">
          <cell r="F28">
            <v>11.47</v>
          </cell>
          <cell r="G28">
            <v>11.46</v>
          </cell>
          <cell r="H28">
            <v>11.36</v>
          </cell>
          <cell r="I28">
            <v>11.2</v>
          </cell>
          <cell r="AD28">
            <v>11.47</v>
          </cell>
          <cell r="AE28">
            <v>11.2</v>
          </cell>
        </row>
        <row r="29"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F30">
            <v>10.83</v>
          </cell>
          <cell r="G30">
            <v>10.83</v>
          </cell>
          <cell r="H30">
            <v>10.83</v>
          </cell>
          <cell r="I30">
            <v>10.83</v>
          </cell>
          <cell r="AD30">
            <v>10.83</v>
          </cell>
          <cell r="AE30">
            <v>10.83</v>
          </cell>
        </row>
      </sheetData>
      <sheetData sheetId="28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</row>
        <row r="20">
          <cell r="B20">
            <v>20.85</v>
          </cell>
          <cell r="C20">
            <v>20.85</v>
          </cell>
          <cell r="E20">
            <v>20.85</v>
          </cell>
        </row>
        <row r="21">
          <cell r="B21">
            <v>15.8</v>
          </cell>
          <cell r="C21">
            <v>15.8</v>
          </cell>
          <cell r="E21">
            <v>15.8</v>
          </cell>
        </row>
        <row r="22">
          <cell r="B22">
            <v>11.94</v>
          </cell>
          <cell r="C22">
            <v>11.94</v>
          </cell>
          <cell r="E22">
            <v>11.94</v>
          </cell>
        </row>
        <row r="23">
          <cell r="B23">
            <v>10.56</v>
          </cell>
          <cell r="C23">
            <v>10.61</v>
          </cell>
          <cell r="E23">
            <v>10.68</v>
          </cell>
        </row>
        <row r="24">
          <cell r="B24">
            <v>10.15</v>
          </cell>
          <cell r="C24">
            <v>10.130000000000001</v>
          </cell>
          <cell r="E24">
            <v>10.130000000000001</v>
          </cell>
        </row>
        <row r="27">
          <cell r="C27">
            <v>11.04</v>
          </cell>
        </row>
        <row r="28">
          <cell r="B28">
            <v>11.04</v>
          </cell>
          <cell r="C28">
            <v>11.12</v>
          </cell>
          <cell r="E28">
            <v>11.32</v>
          </cell>
        </row>
        <row r="30">
          <cell r="B30">
            <v>10.84</v>
          </cell>
          <cell r="C30">
            <v>10.84</v>
          </cell>
          <cell r="E30">
            <v>10.84</v>
          </cell>
        </row>
      </sheetData>
      <sheetData sheetId="29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20.85</v>
          </cell>
          <cell r="C20">
            <v>20.85</v>
          </cell>
          <cell r="E20">
            <v>20.85</v>
          </cell>
          <cell r="G20">
            <v>20.858000000000001</v>
          </cell>
          <cell r="H20">
            <v>20.85</v>
          </cell>
          <cell r="I20">
            <v>20.85</v>
          </cell>
          <cell r="J20">
            <v>20.85</v>
          </cell>
          <cell r="K20">
            <v>20.85</v>
          </cell>
          <cell r="L20">
            <v>20.86</v>
          </cell>
          <cell r="M20">
            <v>20.85</v>
          </cell>
          <cell r="N20">
            <v>20.85</v>
          </cell>
          <cell r="O20">
            <v>20.85</v>
          </cell>
          <cell r="P20">
            <v>20.85</v>
          </cell>
          <cell r="Q20">
            <v>20.85</v>
          </cell>
          <cell r="R20">
            <v>20.85</v>
          </cell>
          <cell r="AD20">
            <v>20.86</v>
          </cell>
          <cell r="AE20">
            <v>20.85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AD21">
            <v>15.8</v>
          </cell>
          <cell r="AE21">
            <v>15.8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AD22">
            <v>12.08</v>
          </cell>
          <cell r="AE22">
            <v>12</v>
          </cell>
        </row>
        <row r="23">
          <cell r="B23">
            <v>10.6</v>
          </cell>
          <cell r="C23">
            <v>10.59</v>
          </cell>
          <cell r="D23">
            <v>10.64</v>
          </cell>
          <cell r="E23">
            <v>10.66</v>
          </cell>
          <cell r="F23">
            <v>10.7</v>
          </cell>
          <cell r="G23">
            <v>10.73</v>
          </cell>
          <cell r="H23">
            <v>10.77</v>
          </cell>
          <cell r="I23">
            <v>10.78</v>
          </cell>
          <cell r="J23">
            <v>10.74</v>
          </cell>
          <cell r="K23">
            <v>10.67</v>
          </cell>
          <cell r="L23">
            <v>10.67</v>
          </cell>
          <cell r="M23">
            <v>10.58</v>
          </cell>
          <cell r="N23">
            <v>10.58</v>
          </cell>
          <cell r="O23">
            <v>10.59</v>
          </cell>
          <cell r="P23">
            <v>10.58</v>
          </cell>
          <cell r="Q23">
            <v>10.52</v>
          </cell>
          <cell r="R23">
            <v>10.49</v>
          </cell>
          <cell r="AD23">
            <v>10.78</v>
          </cell>
          <cell r="AE23">
            <v>10.49</v>
          </cell>
        </row>
        <row r="24">
          <cell r="B24">
            <v>10.41</v>
          </cell>
          <cell r="C24">
            <v>10.1</v>
          </cell>
          <cell r="D24">
            <v>10.49</v>
          </cell>
          <cell r="E24">
            <v>10.5</v>
          </cell>
          <cell r="F24">
            <v>10.57</v>
          </cell>
          <cell r="G24">
            <v>10.51</v>
          </cell>
          <cell r="H24">
            <v>10.52</v>
          </cell>
          <cell r="I24">
            <v>10.54</v>
          </cell>
          <cell r="J24">
            <v>10.39</v>
          </cell>
          <cell r="K24">
            <v>10.44</v>
          </cell>
          <cell r="O24">
            <v>11.32</v>
          </cell>
          <cell r="P24">
            <v>11.32</v>
          </cell>
          <cell r="Q24">
            <v>11.47</v>
          </cell>
          <cell r="R24">
            <v>11.41</v>
          </cell>
          <cell r="AD24">
            <v>11.47</v>
          </cell>
          <cell r="AE24">
            <v>10.1</v>
          </cell>
        </row>
        <row r="25">
          <cell r="AD25">
            <v>0</v>
          </cell>
          <cell r="AE25">
            <v>0</v>
          </cell>
        </row>
        <row r="26">
          <cell r="AD26">
            <v>0</v>
          </cell>
          <cell r="AE26">
            <v>0</v>
          </cell>
        </row>
        <row r="27">
          <cell r="B27">
            <v>10.92</v>
          </cell>
          <cell r="D27">
            <v>11.02</v>
          </cell>
          <cell r="E27">
            <v>11.1</v>
          </cell>
          <cell r="F27">
            <v>11.1</v>
          </cell>
          <cell r="H27">
            <v>11.3</v>
          </cell>
          <cell r="I27">
            <v>11.2</v>
          </cell>
          <cell r="J27">
            <v>11.22</v>
          </cell>
          <cell r="L27">
            <v>10.94</v>
          </cell>
          <cell r="N27">
            <v>10.68</v>
          </cell>
          <cell r="O27">
            <v>10.56</v>
          </cell>
          <cell r="Q27">
            <v>10.46</v>
          </cell>
          <cell r="R27">
            <v>10.46</v>
          </cell>
          <cell r="AD27">
            <v>11.3</v>
          </cell>
          <cell r="AE27">
            <v>10.46</v>
          </cell>
        </row>
        <row r="28">
          <cell r="B28">
            <v>10.99</v>
          </cell>
          <cell r="C28">
            <v>11.04</v>
          </cell>
          <cell r="D28">
            <v>11.09</v>
          </cell>
          <cell r="E28">
            <v>11.18</v>
          </cell>
          <cell r="F28">
            <v>11.27</v>
          </cell>
          <cell r="G28">
            <v>11.34</v>
          </cell>
          <cell r="H28">
            <v>11.37</v>
          </cell>
          <cell r="I28">
            <v>11.36</v>
          </cell>
          <cell r="K28">
            <v>11.13</v>
          </cell>
          <cell r="L28">
            <v>10.98</v>
          </cell>
          <cell r="M28">
            <v>10.73</v>
          </cell>
          <cell r="N28">
            <v>10.73</v>
          </cell>
          <cell r="O28">
            <v>10.72</v>
          </cell>
          <cell r="Q28">
            <v>10.72</v>
          </cell>
          <cell r="R28">
            <v>10.72</v>
          </cell>
          <cell r="AD28">
            <v>11.37</v>
          </cell>
          <cell r="AE28">
            <v>10.72</v>
          </cell>
        </row>
        <row r="29">
          <cell r="AD29">
            <v>0</v>
          </cell>
          <cell r="AE29">
            <v>0</v>
          </cell>
        </row>
        <row r="30">
          <cell r="B30">
            <v>10.85</v>
          </cell>
          <cell r="C30">
            <v>10.85</v>
          </cell>
          <cell r="D30">
            <v>10.85</v>
          </cell>
          <cell r="E30">
            <v>10.85</v>
          </cell>
          <cell r="F30">
            <v>10.85</v>
          </cell>
          <cell r="G30">
            <v>10.85</v>
          </cell>
          <cell r="H30">
            <v>10.85</v>
          </cell>
          <cell r="I30">
            <v>10.85</v>
          </cell>
          <cell r="J30">
            <v>10.85</v>
          </cell>
          <cell r="L30">
            <v>10.85</v>
          </cell>
          <cell r="M30">
            <v>10.85</v>
          </cell>
          <cell r="N30">
            <v>10.85</v>
          </cell>
          <cell r="O30">
            <v>10.85</v>
          </cell>
          <cell r="P30">
            <v>10.85</v>
          </cell>
          <cell r="Q30">
            <v>10.85</v>
          </cell>
          <cell r="R30">
            <v>10.85</v>
          </cell>
          <cell r="AD30">
            <v>10.85</v>
          </cell>
          <cell r="AE30">
            <v>10.85</v>
          </cell>
        </row>
      </sheetData>
      <sheetData sheetId="30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20.85</v>
          </cell>
          <cell r="C20">
            <v>20.85</v>
          </cell>
          <cell r="D20">
            <v>20.85</v>
          </cell>
          <cell r="E20">
            <v>20.85</v>
          </cell>
          <cell r="F20">
            <v>20.85</v>
          </cell>
          <cell r="G20">
            <v>20.85</v>
          </cell>
          <cell r="H20">
            <v>20.85</v>
          </cell>
          <cell r="I20">
            <v>20.85</v>
          </cell>
          <cell r="J20">
            <v>20.85</v>
          </cell>
          <cell r="AD20">
            <v>20.85</v>
          </cell>
          <cell r="AE20">
            <v>20.85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AD21">
            <v>15.8</v>
          </cell>
          <cell r="AE21">
            <v>15.8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AD22">
            <v>12.08</v>
          </cell>
          <cell r="AE22">
            <v>12.08</v>
          </cell>
        </row>
        <row r="23">
          <cell r="B23">
            <v>10.57</v>
          </cell>
          <cell r="C23">
            <v>10.56</v>
          </cell>
          <cell r="D23">
            <v>10.53</v>
          </cell>
          <cell r="E23">
            <v>10.49</v>
          </cell>
          <cell r="F23">
            <v>10.57</v>
          </cell>
          <cell r="G23">
            <v>10.65</v>
          </cell>
          <cell r="H23">
            <v>10.68</v>
          </cell>
          <cell r="I23">
            <v>10.69</v>
          </cell>
          <cell r="AD23">
            <v>10.69</v>
          </cell>
          <cell r="AE23">
            <v>10.49</v>
          </cell>
        </row>
        <row r="24">
          <cell r="B24">
            <v>11.05</v>
          </cell>
          <cell r="C24">
            <v>11.12</v>
          </cell>
          <cell r="D24">
            <v>11.48</v>
          </cell>
          <cell r="E24">
            <v>11.24</v>
          </cell>
          <cell r="F24">
            <v>11.74</v>
          </cell>
          <cell r="G24">
            <v>11.54</v>
          </cell>
          <cell r="H24">
            <v>11.27</v>
          </cell>
          <cell r="I24">
            <v>11.27</v>
          </cell>
          <cell r="AD24">
            <v>11.74</v>
          </cell>
          <cell r="AE24">
            <v>11.05</v>
          </cell>
        </row>
        <row r="25">
          <cell r="B25" t="str">
            <v>**.**</v>
          </cell>
          <cell r="C25" t="str">
            <v>**.**</v>
          </cell>
          <cell r="D25" t="str">
            <v>**.**</v>
          </cell>
          <cell r="E25" t="str">
            <v>**.**</v>
          </cell>
          <cell r="F25" t="str">
            <v>**.**</v>
          </cell>
          <cell r="G25" t="str">
            <v>**.**</v>
          </cell>
          <cell r="H25" t="str">
            <v>**.**</v>
          </cell>
          <cell r="I25" t="str">
            <v>**.**</v>
          </cell>
          <cell r="J25" t="str">
            <v>**.**</v>
          </cell>
          <cell r="K25" t="str">
            <v>**.**</v>
          </cell>
          <cell r="L25" t="str">
            <v>**.**</v>
          </cell>
          <cell r="M25" t="str">
            <v>**.**</v>
          </cell>
          <cell r="N25" t="str">
            <v>**.**</v>
          </cell>
          <cell r="O25" t="str">
            <v>**.**</v>
          </cell>
          <cell r="P25" t="str">
            <v>**.**</v>
          </cell>
          <cell r="Q25" t="str">
            <v>**.**</v>
          </cell>
          <cell r="R25" t="str">
            <v>**.**</v>
          </cell>
          <cell r="S25" t="str">
            <v>**.**</v>
          </cell>
          <cell r="T25" t="str">
            <v>**.**</v>
          </cell>
          <cell r="U25" t="str">
            <v>**.**</v>
          </cell>
          <cell r="V25" t="str">
            <v>**.**</v>
          </cell>
          <cell r="W25" t="str">
            <v>**.**</v>
          </cell>
          <cell r="X25" t="str">
            <v>**.**</v>
          </cell>
          <cell r="Y25" t="str">
            <v>**.**</v>
          </cell>
          <cell r="AD25">
            <v>0</v>
          </cell>
          <cell r="AE25">
            <v>0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 t="str">
            <v>**.**</v>
          </cell>
          <cell r="C27" t="str">
            <v>**.**</v>
          </cell>
          <cell r="D27" t="str">
            <v>**.**</v>
          </cell>
          <cell r="E27" t="str">
            <v>**.**</v>
          </cell>
          <cell r="F27">
            <v>11.02</v>
          </cell>
          <cell r="G27" t="str">
            <v>**.**</v>
          </cell>
          <cell r="H27">
            <v>11.16</v>
          </cell>
          <cell r="I27" t="str">
            <v>**.**</v>
          </cell>
          <cell r="AD27">
            <v>11.16</v>
          </cell>
          <cell r="AE27">
            <v>11.02</v>
          </cell>
        </row>
        <row r="28">
          <cell r="B28">
            <v>10.95</v>
          </cell>
          <cell r="C28">
            <v>10.97</v>
          </cell>
          <cell r="D28">
            <v>11</v>
          </cell>
          <cell r="E28">
            <v>11.03</v>
          </cell>
          <cell r="F28">
            <v>11.1</v>
          </cell>
          <cell r="G28">
            <v>11.17</v>
          </cell>
          <cell r="H28">
            <v>11.23</v>
          </cell>
          <cell r="I28" t="str">
            <v>**.**</v>
          </cell>
          <cell r="AD28">
            <v>11.23</v>
          </cell>
          <cell r="AE28">
            <v>10.95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10.86</v>
          </cell>
          <cell r="C30">
            <v>10.86</v>
          </cell>
          <cell r="D30">
            <v>10.86</v>
          </cell>
          <cell r="E30">
            <v>10.86</v>
          </cell>
          <cell r="F30">
            <v>10.86</v>
          </cell>
          <cell r="G30">
            <v>10.86</v>
          </cell>
          <cell r="H30">
            <v>10.86</v>
          </cell>
          <cell r="I30">
            <v>10.86</v>
          </cell>
          <cell r="J30">
            <v>10.86</v>
          </cell>
          <cell r="AD30">
            <v>10.86</v>
          </cell>
          <cell r="AE30">
            <v>10.86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26444-3E0A-4F90-B758-1C0763DBBE13}">
  <dimension ref="A1:AP39"/>
  <sheetViews>
    <sheetView tabSelected="1" view="pageBreakPreview" zoomScaleNormal="85" zoomScaleSheetLayoutView="100"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V25" sqref="V25"/>
    </sheetView>
  </sheetViews>
  <sheetFormatPr defaultRowHeight="12.75" x14ac:dyDescent="0.2"/>
  <cols>
    <col min="1" max="1" width="6.28515625" style="4" customWidth="1"/>
    <col min="2" max="25" width="5.85546875" style="4" customWidth="1"/>
    <col min="26" max="26" width="7.28515625" style="4" customWidth="1"/>
    <col min="27" max="27" width="6.5703125" style="4" customWidth="1"/>
    <col min="28" max="254" width="9.140625" style="4"/>
    <col min="255" max="255" width="6.28515625" style="4" customWidth="1"/>
    <col min="256" max="279" width="5.85546875" style="4" customWidth="1"/>
    <col min="280" max="280" width="7.28515625" style="4" customWidth="1"/>
    <col min="281" max="510" width="9.140625" style="4"/>
    <col min="511" max="511" width="6.28515625" style="4" customWidth="1"/>
    <col min="512" max="535" width="5.85546875" style="4" customWidth="1"/>
    <col min="536" max="536" width="7.28515625" style="4" customWidth="1"/>
    <col min="537" max="766" width="9.140625" style="4"/>
    <col min="767" max="767" width="6.28515625" style="4" customWidth="1"/>
    <col min="768" max="791" width="5.85546875" style="4" customWidth="1"/>
    <col min="792" max="792" width="7.28515625" style="4" customWidth="1"/>
    <col min="793" max="1022" width="9.140625" style="4"/>
    <col min="1023" max="1023" width="6.28515625" style="4" customWidth="1"/>
    <col min="1024" max="1047" width="5.85546875" style="4" customWidth="1"/>
    <col min="1048" max="1048" width="7.28515625" style="4" customWidth="1"/>
    <col min="1049" max="1278" width="9.140625" style="4"/>
    <col min="1279" max="1279" width="6.28515625" style="4" customWidth="1"/>
    <col min="1280" max="1303" width="5.85546875" style="4" customWidth="1"/>
    <col min="1304" max="1304" width="7.28515625" style="4" customWidth="1"/>
    <col min="1305" max="1534" width="9.140625" style="4"/>
    <col min="1535" max="1535" width="6.28515625" style="4" customWidth="1"/>
    <col min="1536" max="1559" width="5.85546875" style="4" customWidth="1"/>
    <col min="1560" max="1560" width="7.28515625" style="4" customWidth="1"/>
    <col min="1561" max="1790" width="9.140625" style="4"/>
    <col min="1791" max="1791" width="6.28515625" style="4" customWidth="1"/>
    <col min="1792" max="1815" width="5.85546875" style="4" customWidth="1"/>
    <col min="1816" max="1816" width="7.28515625" style="4" customWidth="1"/>
    <col min="1817" max="2046" width="9.140625" style="4"/>
    <col min="2047" max="2047" width="6.28515625" style="4" customWidth="1"/>
    <col min="2048" max="2071" width="5.85546875" style="4" customWidth="1"/>
    <col min="2072" max="2072" width="7.28515625" style="4" customWidth="1"/>
    <col min="2073" max="2302" width="9.140625" style="4"/>
    <col min="2303" max="2303" width="6.28515625" style="4" customWidth="1"/>
    <col min="2304" max="2327" width="5.85546875" style="4" customWidth="1"/>
    <col min="2328" max="2328" width="7.28515625" style="4" customWidth="1"/>
    <col min="2329" max="2558" width="9.140625" style="4"/>
    <col min="2559" max="2559" width="6.28515625" style="4" customWidth="1"/>
    <col min="2560" max="2583" width="5.85546875" style="4" customWidth="1"/>
    <col min="2584" max="2584" width="7.28515625" style="4" customWidth="1"/>
    <col min="2585" max="2814" width="9.140625" style="4"/>
    <col min="2815" max="2815" width="6.28515625" style="4" customWidth="1"/>
    <col min="2816" max="2839" width="5.85546875" style="4" customWidth="1"/>
    <col min="2840" max="2840" width="7.28515625" style="4" customWidth="1"/>
    <col min="2841" max="3070" width="9.140625" style="4"/>
    <col min="3071" max="3071" width="6.28515625" style="4" customWidth="1"/>
    <col min="3072" max="3095" width="5.85546875" style="4" customWidth="1"/>
    <col min="3096" max="3096" width="7.28515625" style="4" customWidth="1"/>
    <col min="3097" max="3326" width="9.140625" style="4"/>
    <col min="3327" max="3327" width="6.28515625" style="4" customWidth="1"/>
    <col min="3328" max="3351" width="5.85546875" style="4" customWidth="1"/>
    <col min="3352" max="3352" width="7.28515625" style="4" customWidth="1"/>
    <col min="3353" max="3582" width="9.140625" style="4"/>
    <col min="3583" max="3583" width="6.28515625" style="4" customWidth="1"/>
    <col min="3584" max="3607" width="5.85546875" style="4" customWidth="1"/>
    <col min="3608" max="3608" width="7.28515625" style="4" customWidth="1"/>
    <col min="3609" max="3838" width="9.140625" style="4"/>
    <col min="3839" max="3839" width="6.28515625" style="4" customWidth="1"/>
    <col min="3840" max="3863" width="5.85546875" style="4" customWidth="1"/>
    <col min="3864" max="3864" width="7.28515625" style="4" customWidth="1"/>
    <col min="3865" max="4094" width="9.140625" style="4"/>
    <col min="4095" max="4095" width="6.28515625" style="4" customWidth="1"/>
    <col min="4096" max="4119" width="5.85546875" style="4" customWidth="1"/>
    <col min="4120" max="4120" width="7.28515625" style="4" customWidth="1"/>
    <col min="4121" max="4350" width="9.140625" style="4"/>
    <col min="4351" max="4351" width="6.28515625" style="4" customWidth="1"/>
    <col min="4352" max="4375" width="5.85546875" style="4" customWidth="1"/>
    <col min="4376" max="4376" width="7.28515625" style="4" customWidth="1"/>
    <col min="4377" max="4606" width="9.140625" style="4"/>
    <col min="4607" max="4607" width="6.28515625" style="4" customWidth="1"/>
    <col min="4608" max="4631" width="5.85546875" style="4" customWidth="1"/>
    <col min="4632" max="4632" width="7.28515625" style="4" customWidth="1"/>
    <col min="4633" max="4862" width="9.140625" style="4"/>
    <col min="4863" max="4863" width="6.28515625" style="4" customWidth="1"/>
    <col min="4864" max="4887" width="5.85546875" style="4" customWidth="1"/>
    <col min="4888" max="4888" width="7.28515625" style="4" customWidth="1"/>
    <col min="4889" max="5118" width="9.140625" style="4"/>
    <col min="5119" max="5119" width="6.28515625" style="4" customWidth="1"/>
    <col min="5120" max="5143" width="5.85546875" style="4" customWidth="1"/>
    <col min="5144" max="5144" width="7.28515625" style="4" customWidth="1"/>
    <col min="5145" max="5374" width="9.140625" style="4"/>
    <col min="5375" max="5375" width="6.28515625" style="4" customWidth="1"/>
    <col min="5376" max="5399" width="5.85546875" style="4" customWidth="1"/>
    <col min="5400" max="5400" width="7.28515625" style="4" customWidth="1"/>
    <col min="5401" max="5630" width="9.140625" style="4"/>
    <col min="5631" max="5631" width="6.28515625" style="4" customWidth="1"/>
    <col min="5632" max="5655" width="5.85546875" style="4" customWidth="1"/>
    <col min="5656" max="5656" width="7.28515625" style="4" customWidth="1"/>
    <col min="5657" max="5886" width="9.140625" style="4"/>
    <col min="5887" max="5887" width="6.28515625" style="4" customWidth="1"/>
    <col min="5888" max="5911" width="5.85546875" style="4" customWidth="1"/>
    <col min="5912" max="5912" width="7.28515625" style="4" customWidth="1"/>
    <col min="5913" max="6142" width="9.140625" style="4"/>
    <col min="6143" max="6143" width="6.28515625" style="4" customWidth="1"/>
    <col min="6144" max="6167" width="5.85546875" style="4" customWidth="1"/>
    <col min="6168" max="6168" width="7.28515625" style="4" customWidth="1"/>
    <col min="6169" max="6398" width="9.140625" style="4"/>
    <col min="6399" max="6399" width="6.28515625" style="4" customWidth="1"/>
    <col min="6400" max="6423" width="5.85546875" style="4" customWidth="1"/>
    <col min="6424" max="6424" width="7.28515625" style="4" customWidth="1"/>
    <col min="6425" max="6654" width="9.140625" style="4"/>
    <col min="6655" max="6655" width="6.28515625" style="4" customWidth="1"/>
    <col min="6656" max="6679" width="5.85546875" style="4" customWidth="1"/>
    <col min="6680" max="6680" width="7.28515625" style="4" customWidth="1"/>
    <col min="6681" max="6910" width="9.140625" style="4"/>
    <col min="6911" max="6911" width="6.28515625" style="4" customWidth="1"/>
    <col min="6912" max="6935" width="5.85546875" style="4" customWidth="1"/>
    <col min="6936" max="6936" width="7.28515625" style="4" customWidth="1"/>
    <col min="6937" max="7166" width="9.140625" style="4"/>
    <col min="7167" max="7167" width="6.28515625" style="4" customWidth="1"/>
    <col min="7168" max="7191" width="5.85546875" style="4" customWidth="1"/>
    <col min="7192" max="7192" width="7.28515625" style="4" customWidth="1"/>
    <col min="7193" max="7422" width="9.140625" style="4"/>
    <col min="7423" max="7423" width="6.28515625" style="4" customWidth="1"/>
    <col min="7424" max="7447" width="5.85546875" style="4" customWidth="1"/>
    <col min="7448" max="7448" width="7.28515625" style="4" customWidth="1"/>
    <col min="7449" max="7678" width="9.140625" style="4"/>
    <col min="7679" max="7679" width="6.28515625" style="4" customWidth="1"/>
    <col min="7680" max="7703" width="5.85546875" style="4" customWidth="1"/>
    <col min="7704" max="7704" width="7.28515625" style="4" customWidth="1"/>
    <col min="7705" max="7934" width="9.140625" style="4"/>
    <col min="7935" max="7935" width="6.28515625" style="4" customWidth="1"/>
    <col min="7936" max="7959" width="5.85546875" style="4" customWidth="1"/>
    <col min="7960" max="7960" width="7.28515625" style="4" customWidth="1"/>
    <col min="7961" max="8190" width="9.140625" style="4"/>
    <col min="8191" max="8191" width="6.28515625" style="4" customWidth="1"/>
    <col min="8192" max="8215" width="5.85546875" style="4" customWidth="1"/>
    <col min="8216" max="8216" width="7.28515625" style="4" customWidth="1"/>
    <col min="8217" max="8446" width="9.140625" style="4"/>
    <col min="8447" max="8447" width="6.28515625" style="4" customWidth="1"/>
    <col min="8448" max="8471" width="5.85546875" style="4" customWidth="1"/>
    <col min="8472" max="8472" width="7.28515625" style="4" customWidth="1"/>
    <col min="8473" max="8702" width="9.140625" style="4"/>
    <col min="8703" max="8703" width="6.28515625" style="4" customWidth="1"/>
    <col min="8704" max="8727" width="5.85546875" style="4" customWidth="1"/>
    <col min="8728" max="8728" width="7.28515625" style="4" customWidth="1"/>
    <col min="8729" max="8958" width="9.140625" style="4"/>
    <col min="8959" max="8959" width="6.28515625" style="4" customWidth="1"/>
    <col min="8960" max="8983" width="5.85546875" style="4" customWidth="1"/>
    <col min="8984" max="8984" width="7.28515625" style="4" customWidth="1"/>
    <col min="8985" max="9214" width="9.140625" style="4"/>
    <col min="9215" max="9215" width="6.28515625" style="4" customWidth="1"/>
    <col min="9216" max="9239" width="5.85546875" style="4" customWidth="1"/>
    <col min="9240" max="9240" width="7.28515625" style="4" customWidth="1"/>
    <col min="9241" max="9470" width="9.140625" style="4"/>
    <col min="9471" max="9471" width="6.28515625" style="4" customWidth="1"/>
    <col min="9472" max="9495" width="5.85546875" style="4" customWidth="1"/>
    <col min="9496" max="9496" width="7.28515625" style="4" customWidth="1"/>
    <col min="9497" max="9726" width="9.140625" style="4"/>
    <col min="9727" max="9727" width="6.28515625" style="4" customWidth="1"/>
    <col min="9728" max="9751" width="5.85546875" style="4" customWidth="1"/>
    <col min="9752" max="9752" width="7.28515625" style="4" customWidth="1"/>
    <col min="9753" max="9982" width="9.140625" style="4"/>
    <col min="9983" max="9983" width="6.28515625" style="4" customWidth="1"/>
    <col min="9984" max="10007" width="5.85546875" style="4" customWidth="1"/>
    <col min="10008" max="10008" width="7.28515625" style="4" customWidth="1"/>
    <col min="10009" max="10238" width="9.140625" style="4"/>
    <col min="10239" max="10239" width="6.28515625" style="4" customWidth="1"/>
    <col min="10240" max="10263" width="5.85546875" style="4" customWidth="1"/>
    <col min="10264" max="10264" width="7.28515625" style="4" customWidth="1"/>
    <col min="10265" max="10494" width="9.140625" style="4"/>
    <col min="10495" max="10495" width="6.28515625" style="4" customWidth="1"/>
    <col min="10496" max="10519" width="5.85546875" style="4" customWidth="1"/>
    <col min="10520" max="10520" width="7.28515625" style="4" customWidth="1"/>
    <col min="10521" max="10750" width="9.140625" style="4"/>
    <col min="10751" max="10751" width="6.28515625" style="4" customWidth="1"/>
    <col min="10752" max="10775" width="5.85546875" style="4" customWidth="1"/>
    <col min="10776" max="10776" width="7.28515625" style="4" customWidth="1"/>
    <col min="10777" max="11006" width="9.140625" style="4"/>
    <col min="11007" max="11007" width="6.28515625" style="4" customWidth="1"/>
    <col min="11008" max="11031" width="5.85546875" style="4" customWidth="1"/>
    <col min="11032" max="11032" width="7.28515625" style="4" customWidth="1"/>
    <col min="11033" max="11262" width="9.140625" style="4"/>
    <col min="11263" max="11263" width="6.28515625" style="4" customWidth="1"/>
    <col min="11264" max="11287" width="5.85546875" style="4" customWidth="1"/>
    <col min="11288" max="11288" width="7.28515625" style="4" customWidth="1"/>
    <col min="11289" max="11518" width="9.140625" style="4"/>
    <col min="11519" max="11519" width="6.28515625" style="4" customWidth="1"/>
    <col min="11520" max="11543" width="5.85546875" style="4" customWidth="1"/>
    <col min="11544" max="11544" width="7.28515625" style="4" customWidth="1"/>
    <col min="11545" max="11774" width="9.140625" style="4"/>
    <col min="11775" max="11775" width="6.28515625" style="4" customWidth="1"/>
    <col min="11776" max="11799" width="5.85546875" style="4" customWidth="1"/>
    <col min="11800" max="11800" width="7.28515625" style="4" customWidth="1"/>
    <col min="11801" max="12030" width="9.140625" style="4"/>
    <col min="12031" max="12031" width="6.28515625" style="4" customWidth="1"/>
    <col min="12032" max="12055" width="5.85546875" style="4" customWidth="1"/>
    <col min="12056" max="12056" width="7.28515625" style="4" customWidth="1"/>
    <col min="12057" max="12286" width="9.140625" style="4"/>
    <col min="12287" max="12287" width="6.28515625" style="4" customWidth="1"/>
    <col min="12288" max="12311" width="5.85546875" style="4" customWidth="1"/>
    <col min="12312" max="12312" width="7.28515625" style="4" customWidth="1"/>
    <col min="12313" max="12542" width="9.140625" style="4"/>
    <col min="12543" max="12543" width="6.28515625" style="4" customWidth="1"/>
    <col min="12544" max="12567" width="5.85546875" style="4" customWidth="1"/>
    <col min="12568" max="12568" width="7.28515625" style="4" customWidth="1"/>
    <col min="12569" max="12798" width="9.140625" style="4"/>
    <col min="12799" max="12799" width="6.28515625" style="4" customWidth="1"/>
    <col min="12800" max="12823" width="5.85546875" style="4" customWidth="1"/>
    <col min="12824" max="12824" width="7.28515625" style="4" customWidth="1"/>
    <col min="12825" max="13054" width="9.140625" style="4"/>
    <col min="13055" max="13055" width="6.28515625" style="4" customWidth="1"/>
    <col min="13056" max="13079" width="5.85546875" style="4" customWidth="1"/>
    <col min="13080" max="13080" width="7.28515625" style="4" customWidth="1"/>
    <col min="13081" max="13310" width="9.140625" style="4"/>
    <col min="13311" max="13311" width="6.28515625" style="4" customWidth="1"/>
    <col min="13312" max="13335" width="5.85546875" style="4" customWidth="1"/>
    <col min="13336" max="13336" width="7.28515625" style="4" customWidth="1"/>
    <col min="13337" max="13566" width="9.140625" style="4"/>
    <col min="13567" max="13567" width="6.28515625" style="4" customWidth="1"/>
    <col min="13568" max="13591" width="5.85546875" style="4" customWidth="1"/>
    <col min="13592" max="13592" width="7.28515625" style="4" customWidth="1"/>
    <col min="13593" max="13822" width="9.140625" style="4"/>
    <col min="13823" max="13823" width="6.28515625" style="4" customWidth="1"/>
    <col min="13824" max="13847" width="5.85546875" style="4" customWidth="1"/>
    <col min="13848" max="13848" width="7.28515625" style="4" customWidth="1"/>
    <col min="13849" max="14078" width="9.140625" style="4"/>
    <col min="14079" max="14079" width="6.28515625" style="4" customWidth="1"/>
    <col min="14080" max="14103" width="5.85546875" style="4" customWidth="1"/>
    <col min="14104" max="14104" width="7.28515625" style="4" customWidth="1"/>
    <col min="14105" max="14334" width="9.140625" style="4"/>
    <col min="14335" max="14335" width="6.28515625" style="4" customWidth="1"/>
    <col min="14336" max="14359" width="5.85546875" style="4" customWidth="1"/>
    <col min="14360" max="14360" width="7.28515625" style="4" customWidth="1"/>
    <col min="14361" max="14590" width="9.140625" style="4"/>
    <col min="14591" max="14591" width="6.28515625" style="4" customWidth="1"/>
    <col min="14592" max="14615" width="5.85546875" style="4" customWidth="1"/>
    <col min="14616" max="14616" width="7.28515625" style="4" customWidth="1"/>
    <col min="14617" max="14846" width="9.140625" style="4"/>
    <col min="14847" max="14847" width="6.28515625" style="4" customWidth="1"/>
    <col min="14848" max="14871" width="5.85546875" style="4" customWidth="1"/>
    <col min="14872" max="14872" width="7.28515625" style="4" customWidth="1"/>
    <col min="14873" max="15102" width="9.140625" style="4"/>
    <col min="15103" max="15103" width="6.28515625" style="4" customWidth="1"/>
    <col min="15104" max="15127" width="5.85546875" style="4" customWidth="1"/>
    <col min="15128" max="15128" width="7.28515625" style="4" customWidth="1"/>
    <col min="15129" max="15358" width="9.140625" style="4"/>
    <col min="15359" max="15359" width="6.28515625" style="4" customWidth="1"/>
    <col min="15360" max="15383" width="5.85546875" style="4" customWidth="1"/>
    <col min="15384" max="15384" width="7.28515625" style="4" customWidth="1"/>
    <col min="15385" max="15614" width="9.140625" style="4"/>
    <col min="15615" max="15615" width="6.28515625" style="4" customWidth="1"/>
    <col min="15616" max="15639" width="5.85546875" style="4" customWidth="1"/>
    <col min="15640" max="15640" width="7.28515625" style="4" customWidth="1"/>
    <col min="15641" max="15870" width="9.140625" style="4"/>
    <col min="15871" max="15871" width="6.28515625" style="4" customWidth="1"/>
    <col min="15872" max="15895" width="5.85546875" style="4" customWidth="1"/>
    <col min="15896" max="15896" width="7.28515625" style="4" customWidth="1"/>
    <col min="15897" max="16126" width="9.140625" style="4"/>
    <col min="16127" max="16127" width="6.28515625" style="4" customWidth="1"/>
    <col min="16128" max="16151" width="5.85546875" style="4" customWidth="1"/>
    <col min="16152" max="16152" width="7.28515625" style="4" customWidth="1"/>
    <col min="16153" max="16384" width="9.140625" style="4"/>
  </cols>
  <sheetData>
    <row r="1" spans="1:42" ht="23.25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1"/>
      <c r="AB1" s="2"/>
      <c r="AC1" s="3"/>
      <c r="AE1" s="32" t="s">
        <v>1</v>
      </c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</row>
    <row r="2" spans="1:42" ht="23.25" x14ac:dyDescent="0.2">
      <c r="AA2" s="33" t="s">
        <v>2</v>
      </c>
      <c r="AB2" s="34"/>
      <c r="AC2" s="35"/>
      <c r="AE2" s="32" t="s">
        <v>3</v>
      </c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</row>
    <row r="3" spans="1:42" ht="23.25" x14ac:dyDescent="0.2">
      <c r="A3" s="5" t="s">
        <v>4</v>
      </c>
      <c r="D3" s="6" t="s">
        <v>5</v>
      </c>
      <c r="Q3" s="5" t="s">
        <v>6</v>
      </c>
      <c r="S3" s="6" t="s">
        <v>2</v>
      </c>
      <c r="W3" s="5" t="s">
        <v>7</v>
      </c>
      <c r="Y3" s="36">
        <v>2020</v>
      </c>
      <c r="Z3" s="37"/>
      <c r="AA3" s="7"/>
      <c r="AB3" s="8"/>
      <c r="AC3" s="9"/>
      <c r="AE3" s="32" t="s">
        <v>8</v>
      </c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</row>
    <row r="4" spans="1:42" ht="5.25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10"/>
      <c r="AB4" s="10"/>
      <c r="AC4" s="10"/>
    </row>
    <row r="5" spans="1:42" x14ac:dyDescent="0.2">
      <c r="A5" s="11"/>
      <c r="B5" s="12">
        <v>0.375</v>
      </c>
      <c r="C5" s="12">
        <v>0.41666666666666669</v>
      </c>
      <c r="D5" s="12">
        <v>0.45833333333333298</v>
      </c>
      <c r="E5" s="12">
        <v>0.5</v>
      </c>
      <c r="F5" s="12">
        <v>0.54166666666666696</v>
      </c>
      <c r="G5" s="12">
        <v>0.58333333333333304</v>
      </c>
      <c r="H5" s="12">
        <v>0.625</v>
      </c>
      <c r="I5" s="12">
        <v>0.66666666666666696</v>
      </c>
      <c r="J5" s="12">
        <v>0.70833333333333304</v>
      </c>
      <c r="K5" s="12">
        <v>0.75</v>
      </c>
      <c r="L5" s="12">
        <v>0.79166666666666696</v>
      </c>
      <c r="M5" s="12">
        <v>0.83333333333333337</v>
      </c>
      <c r="N5" s="12">
        <v>0.875</v>
      </c>
      <c r="O5" s="12">
        <v>0.91666666666666663</v>
      </c>
      <c r="P5" s="12">
        <v>0.95833333333333337</v>
      </c>
      <c r="Q5" s="12">
        <v>0</v>
      </c>
      <c r="R5" s="12">
        <v>4.1666666666666699E-2</v>
      </c>
      <c r="S5" s="12">
        <v>8.3333333333333301E-2</v>
      </c>
      <c r="T5" s="12">
        <v>0.125</v>
      </c>
      <c r="U5" s="12">
        <v>0.16666666666666699</v>
      </c>
      <c r="V5" s="12">
        <v>0.20833333333333301</v>
      </c>
      <c r="W5" s="12">
        <v>0.25</v>
      </c>
      <c r="X5" s="12">
        <v>0.29166666666666702</v>
      </c>
      <c r="Y5" s="12">
        <v>0.33333333333333298</v>
      </c>
      <c r="Z5" s="13" t="s">
        <v>9</v>
      </c>
      <c r="AA5" s="14" t="s">
        <v>10</v>
      </c>
      <c r="AB5" s="15" t="s">
        <v>11</v>
      </c>
      <c r="AC5" s="15" t="s">
        <v>12</v>
      </c>
    </row>
    <row r="6" spans="1:42" ht="14.25" customHeight="1" x14ac:dyDescent="0.25">
      <c r="A6" s="16">
        <v>1</v>
      </c>
      <c r="B6" s="17" t="s">
        <v>16</v>
      </c>
      <c r="C6" s="17" t="s">
        <v>16</v>
      </c>
      <c r="D6" s="17" t="s">
        <v>16</v>
      </c>
      <c r="E6" s="17" t="s">
        <v>16</v>
      </c>
      <c r="F6" s="17" t="s">
        <v>16</v>
      </c>
      <c r="G6" s="17" t="s">
        <v>16</v>
      </c>
      <c r="H6" s="17" t="s">
        <v>16</v>
      </c>
      <c r="I6" s="17" t="s">
        <v>16</v>
      </c>
      <c r="J6" s="17" t="s">
        <v>16</v>
      </c>
      <c r="K6" s="17" t="s">
        <v>16</v>
      </c>
      <c r="L6" s="17" t="s">
        <v>16</v>
      </c>
      <c r="M6" s="17" t="s">
        <v>16</v>
      </c>
      <c r="N6" s="17" t="s">
        <v>16</v>
      </c>
      <c r="O6" s="17" t="s">
        <v>16</v>
      </c>
      <c r="P6" s="17" t="s">
        <v>16</v>
      </c>
      <c r="Q6" s="17" t="s">
        <v>16</v>
      </c>
      <c r="R6" s="17" t="s">
        <v>16</v>
      </c>
      <c r="S6" s="17" t="s">
        <v>16</v>
      </c>
      <c r="T6" s="17" t="s">
        <v>16</v>
      </c>
      <c r="U6" s="17" t="s">
        <v>16</v>
      </c>
      <c r="V6" s="17" t="s">
        <v>16</v>
      </c>
      <c r="W6" s="17" t="s">
        <v>16</v>
      </c>
      <c r="X6" s="17" t="s">
        <v>16</v>
      </c>
      <c r="Y6" s="17" t="s">
        <v>16</v>
      </c>
      <c r="Z6" s="19" t="e">
        <f t="shared" ref="Z6:Z36" si="0">AVERAGE(B6:Y6)</f>
        <v>#DIV/0!</v>
      </c>
      <c r="AA6" s="20">
        <v>1</v>
      </c>
      <c r="AB6" s="21">
        <f>MAX(B6:Y6)</f>
        <v>0</v>
      </c>
      <c r="AC6" s="21">
        <f>MIN(B6:Y6)</f>
        <v>0</v>
      </c>
    </row>
    <row r="7" spans="1:42" ht="14.25" customHeight="1" x14ac:dyDescent="0.25">
      <c r="A7" s="16">
        <v>2</v>
      </c>
      <c r="B7" s="18" t="s">
        <v>16</v>
      </c>
      <c r="C7" s="18" t="s">
        <v>16</v>
      </c>
      <c r="D7" s="18" t="s">
        <v>16</v>
      </c>
      <c r="E7" s="18" t="s">
        <v>16</v>
      </c>
      <c r="F7" s="18" t="s">
        <v>16</v>
      </c>
      <c r="G7" s="18" t="s">
        <v>16</v>
      </c>
      <c r="H7" s="18" t="s">
        <v>16</v>
      </c>
      <c r="I7" s="18" t="s">
        <v>16</v>
      </c>
      <c r="J7" s="18" t="s">
        <v>16</v>
      </c>
      <c r="K7" s="18" t="s">
        <v>16</v>
      </c>
      <c r="L7" s="18" t="s">
        <v>16</v>
      </c>
      <c r="M7" s="18" t="s">
        <v>16</v>
      </c>
      <c r="N7" s="18" t="s">
        <v>16</v>
      </c>
      <c r="O7" s="18" t="s">
        <v>16</v>
      </c>
      <c r="P7" s="18" t="s">
        <v>16</v>
      </c>
      <c r="Q7" s="18" t="s">
        <v>16</v>
      </c>
      <c r="R7" s="18" t="s">
        <v>16</v>
      </c>
      <c r="S7" s="18" t="s">
        <v>16</v>
      </c>
      <c r="T7" s="18" t="s">
        <v>16</v>
      </c>
      <c r="U7" s="18" t="s">
        <v>16</v>
      </c>
      <c r="V7" s="18" t="s">
        <v>16</v>
      </c>
      <c r="W7" s="18" t="s">
        <v>16</v>
      </c>
      <c r="X7" s="18" t="s">
        <v>16</v>
      </c>
      <c r="Y7" s="18" t="s">
        <v>16</v>
      </c>
      <c r="Z7" s="19" t="e">
        <f t="shared" si="0"/>
        <v>#DIV/0!</v>
      </c>
      <c r="AA7" s="20">
        <v>2</v>
      </c>
      <c r="AB7" s="21">
        <f t="shared" ref="AB7:AB36" si="1">MAX(B7:Y7)</f>
        <v>0</v>
      </c>
      <c r="AC7" s="21">
        <f t="shared" ref="AC7:AC36" si="2">MIN(B7:Y7)</f>
        <v>0</v>
      </c>
    </row>
    <row r="8" spans="1:42" ht="14.25" customHeight="1" x14ac:dyDescent="0.25">
      <c r="A8" s="16">
        <v>3</v>
      </c>
      <c r="B8" s="18" t="s">
        <v>16</v>
      </c>
      <c r="C8" s="18" t="s">
        <v>16</v>
      </c>
      <c r="D8" s="18" t="s">
        <v>16</v>
      </c>
      <c r="E8" s="18" t="s">
        <v>16</v>
      </c>
      <c r="F8" s="18" t="s">
        <v>16</v>
      </c>
      <c r="G8" s="18" t="s">
        <v>16</v>
      </c>
      <c r="H8" s="18" t="s">
        <v>16</v>
      </c>
      <c r="I8" s="18" t="s">
        <v>16</v>
      </c>
      <c r="J8" s="18" t="s">
        <v>16</v>
      </c>
      <c r="K8" s="18" t="s">
        <v>16</v>
      </c>
      <c r="L8" s="18" t="s">
        <v>16</v>
      </c>
      <c r="M8" s="18" t="s">
        <v>16</v>
      </c>
      <c r="N8" s="18" t="s">
        <v>16</v>
      </c>
      <c r="O8" s="18" t="s">
        <v>16</v>
      </c>
      <c r="P8" s="18" t="s">
        <v>16</v>
      </c>
      <c r="Q8" s="18" t="s">
        <v>16</v>
      </c>
      <c r="R8" s="18" t="s">
        <v>16</v>
      </c>
      <c r="S8" s="18" t="s">
        <v>16</v>
      </c>
      <c r="T8" s="18" t="s">
        <v>16</v>
      </c>
      <c r="U8" s="18" t="s">
        <v>16</v>
      </c>
      <c r="V8" s="18" t="s">
        <v>16</v>
      </c>
      <c r="W8" s="18" t="s">
        <v>16</v>
      </c>
      <c r="X8" s="18" t="s">
        <v>16</v>
      </c>
      <c r="Y8" s="18" t="s">
        <v>16</v>
      </c>
      <c r="Z8" s="22" t="e">
        <f t="shared" si="0"/>
        <v>#DIV/0!</v>
      </c>
      <c r="AA8" s="20">
        <v>3</v>
      </c>
      <c r="AB8" s="23">
        <f t="shared" si="1"/>
        <v>0</v>
      </c>
      <c r="AC8" s="23">
        <f t="shared" si="2"/>
        <v>0</v>
      </c>
    </row>
    <row r="9" spans="1:42" ht="14.25" customHeight="1" x14ac:dyDescent="0.25">
      <c r="A9" s="16">
        <v>4</v>
      </c>
      <c r="B9" s="18">
        <f>HLOOKUP(B5,[1]May.4!B19:Y30,2,0)</f>
        <v>20.79</v>
      </c>
      <c r="C9" s="18">
        <f>HLOOKUP(C5,[1]May.4!C19:Z30,2,0)</f>
        <v>20.79</v>
      </c>
      <c r="D9" s="18">
        <f>HLOOKUP(D5,[1]May.4!D19:AA30,2,0)</f>
        <v>20.79</v>
      </c>
      <c r="E9" s="18">
        <f>HLOOKUP(E5,[1]May.4!E19:AB30,2,0)</f>
        <v>20.79</v>
      </c>
      <c r="F9" s="18">
        <f>HLOOKUP(F5,[1]May.4!F19:AC30,2,0)</f>
        <v>20.79</v>
      </c>
      <c r="G9" s="18">
        <f>HLOOKUP(G5,[1]May.4!G19:AD30,2,0)</f>
        <v>20.79</v>
      </c>
      <c r="H9" s="18">
        <f>HLOOKUP(H5,[1]May.4!H19:AE30,2,0)</f>
        <v>20.79</v>
      </c>
      <c r="I9" s="18">
        <f>HLOOKUP(I5,[1]May.4!I19:AF30,2,0)</f>
        <v>20.79</v>
      </c>
      <c r="J9" s="18">
        <f>HLOOKUP(J5,[1]May.4!J19:AG30,2,0)</f>
        <v>20.79</v>
      </c>
      <c r="K9" s="18">
        <f>HLOOKUP(K5,[1]May.4!K19:AH30,2,0)</f>
        <v>20.79</v>
      </c>
      <c r="L9" s="18">
        <f>HLOOKUP(L5,[1]May.4!L19:AI30,2,0)</f>
        <v>20.79</v>
      </c>
      <c r="M9" s="18">
        <f>HLOOKUP(M5,[1]May.4!M19:AJ30,2,0)</f>
        <v>20.79</v>
      </c>
      <c r="N9" s="18">
        <f>HLOOKUP(N5,[1]May.4!N19:AK30,2,0)</f>
        <v>20.79</v>
      </c>
      <c r="O9" s="18">
        <f>HLOOKUP(O5,[1]May.4!O19:AL30,2,0)</f>
        <v>20.79</v>
      </c>
      <c r="P9" s="18">
        <f>HLOOKUP(P5,[1]May.4!P19:AM30,2,0)</f>
        <v>20.79</v>
      </c>
      <c r="Q9" s="18">
        <f>HLOOKUP(Q5,[1]May.4!Q19:AN30,2,0)</f>
        <v>20.79</v>
      </c>
      <c r="R9" s="18">
        <f>HLOOKUP(R5,[1]May.4!R19:AO30,2,0)</f>
        <v>20.79</v>
      </c>
      <c r="S9" s="18">
        <f>HLOOKUP(S5,[1]May.4!S19:AP30,2,0)</f>
        <v>20.79</v>
      </c>
      <c r="T9" s="18">
        <f>HLOOKUP(T5,[1]May.4!T19:AQ30,2,0)</f>
        <v>20.79</v>
      </c>
      <c r="U9" s="18">
        <f>HLOOKUP(U5,[1]May.4!U19:AR30,2,0)</f>
        <v>20.79</v>
      </c>
      <c r="V9" s="18">
        <f>HLOOKUP(V5,[1]May.4!V19:AS30,2,0)</f>
        <v>20.79</v>
      </c>
      <c r="W9" s="18">
        <f>HLOOKUP(W5,[1]May.4!W19:AT30,2,0)</f>
        <v>20.79</v>
      </c>
      <c r="X9" s="18">
        <f>HLOOKUP(X5,[1]May.4!X19:AU30,2,0)</f>
        <v>20.79</v>
      </c>
      <c r="Y9" s="18">
        <f>HLOOKUP(Y5,[1]May.4!Y19:AV30,2,0)</f>
        <v>20.79</v>
      </c>
      <c r="Z9" s="22">
        <f t="shared" si="0"/>
        <v>20.790000000000006</v>
      </c>
      <c r="AA9" s="20">
        <v>4</v>
      </c>
      <c r="AB9" s="21">
        <f t="shared" si="1"/>
        <v>20.79</v>
      </c>
      <c r="AC9" s="21">
        <f t="shared" si="2"/>
        <v>20.79</v>
      </c>
    </row>
    <row r="10" spans="1:42" ht="14.25" customHeight="1" x14ac:dyDescent="0.25">
      <c r="A10" s="16">
        <v>5</v>
      </c>
      <c r="B10" s="18">
        <f>HLOOKUP(B5,[1]May.5!B19:Y30,2,0)</f>
        <v>20.79</v>
      </c>
      <c r="C10" s="18">
        <f>HLOOKUP(C5,[1]May.5!C19:Z30,2,0)</f>
        <v>20.79</v>
      </c>
      <c r="D10" s="18">
        <f>HLOOKUP(D5,[1]May.5!D19:AA30,2,0)</f>
        <v>20.79</v>
      </c>
      <c r="E10" s="18">
        <f>HLOOKUP(E5,[1]May.5!E19:AB30,2,0)</f>
        <v>20.79</v>
      </c>
      <c r="F10" s="18">
        <f>HLOOKUP(F5,[1]May.5!F19:AC30,2,0)</f>
        <v>20.79</v>
      </c>
      <c r="G10" s="18">
        <f>HLOOKUP(G5,[1]May.5!G19:AD30,2,0)</f>
        <v>20.79</v>
      </c>
      <c r="H10" s="18">
        <f>HLOOKUP(H5,[1]May.5!H19:AE30,2,0)</f>
        <v>20.79</v>
      </c>
      <c r="I10" s="18">
        <f>HLOOKUP(I5,[1]May.5!I19:AF30,2,0)</f>
        <v>20.79</v>
      </c>
      <c r="J10" s="18">
        <f>HLOOKUP(J5,[1]May.5!J19:AG30,2,0)</f>
        <v>20.79</v>
      </c>
      <c r="K10" s="18" t="s">
        <v>16</v>
      </c>
      <c r="L10" s="18" t="s">
        <v>16</v>
      </c>
      <c r="M10" s="18" t="s">
        <v>16</v>
      </c>
      <c r="N10" s="18" t="s">
        <v>16</v>
      </c>
      <c r="O10" s="18" t="s">
        <v>16</v>
      </c>
      <c r="P10" s="18" t="s">
        <v>16</v>
      </c>
      <c r="Q10" s="18" t="s">
        <v>16</v>
      </c>
      <c r="R10" s="18" t="s">
        <v>16</v>
      </c>
      <c r="S10" s="18" t="s">
        <v>16</v>
      </c>
      <c r="T10" s="18" t="s">
        <v>16</v>
      </c>
      <c r="U10" s="18" t="s">
        <v>16</v>
      </c>
      <c r="V10" s="18" t="s">
        <v>16</v>
      </c>
      <c r="W10" s="18" t="s">
        <v>16</v>
      </c>
      <c r="X10" s="18" t="s">
        <v>16</v>
      </c>
      <c r="Y10" s="18" t="s">
        <v>16</v>
      </c>
      <c r="Z10" s="22">
        <f t="shared" si="0"/>
        <v>20.789999999999996</v>
      </c>
      <c r="AA10" s="20">
        <v>5</v>
      </c>
      <c r="AB10" s="21">
        <f t="shared" si="1"/>
        <v>20.79</v>
      </c>
      <c r="AC10" s="21">
        <f t="shared" si="2"/>
        <v>20.79</v>
      </c>
    </row>
    <row r="11" spans="1:42" ht="14.25" customHeight="1" x14ac:dyDescent="0.25">
      <c r="A11" s="16">
        <v>6</v>
      </c>
      <c r="B11" s="18" t="s">
        <v>16</v>
      </c>
      <c r="C11" s="18" t="s">
        <v>16</v>
      </c>
      <c r="D11" s="18" t="s">
        <v>16</v>
      </c>
      <c r="E11" s="18" t="s">
        <v>16</v>
      </c>
      <c r="F11" s="18" t="s">
        <v>16</v>
      </c>
      <c r="G11" s="18" t="s">
        <v>16</v>
      </c>
      <c r="H11" s="18" t="s">
        <v>16</v>
      </c>
      <c r="I11" s="18" t="s">
        <v>16</v>
      </c>
      <c r="J11" s="18" t="s">
        <v>16</v>
      </c>
      <c r="K11" s="18" t="s">
        <v>16</v>
      </c>
      <c r="L11" s="18" t="s">
        <v>16</v>
      </c>
      <c r="M11" s="18" t="s">
        <v>16</v>
      </c>
      <c r="N11" s="18" t="s">
        <v>16</v>
      </c>
      <c r="O11" s="18" t="s">
        <v>16</v>
      </c>
      <c r="P11" s="18" t="s">
        <v>16</v>
      </c>
      <c r="Q11" s="18" t="s">
        <v>16</v>
      </c>
      <c r="R11" s="18" t="s">
        <v>16</v>
      </c>
      <c r="S11" s="18" t="s">
        <v>16</v>
      </c>
      <c r="T11" s="18" t="s">
        <v>16</v>
      </c>
      <c r="U11" s="18" t="s">
        <v>16</v>
      </c>
      <c r="V11" s="18" t="s">
        <v>16</v>
      </c>
      <c r="W11" s="18" t="s">
        <v>16</v>
      </c>
      <c r="X11" s="18" t="s">
        <v>16</v>
      </c>
      <c r="Y11" s="18" t="s">
        <v>16</v>
      </c>
      <c r="Z11" s="19" t="e">
        <f t="shared" si="0"/>
        <v>#DIV/0!</v>
      </c>
      <c r="AA11" s="20">
        <v>6</v>
      </c>
      <c r="AB11" s="21">
        <f>MAX(B11:Y11)</f>
        <v>0</v>
      </c>
      <c r="AC11" s="21">
        <f>MIN(B11:Y11)</f>
        <v>0</v>
      </c>
    </row>
    <row r="12" spans="1:42" ht="14.25" customHeight="1" x14ac:dyDescent="0.25">
      <c r="A12" s="16">
        <v>7</v>
      </c>
      <c r="B12" s="18" t="s">
        <v>16</v>
      </c>
      <c r="C12" s="18" t="s">
        <v>16</v>
      </c>
      <c r="D12" s="18" t="s">
        <v>16</v>
      </c>
      <c r="E12" s="18" t="s">
        <v>16</v>
      </c>
      <c r="F12" s="18" t="s">
        <v>16</v>
      </c>
      <c r="G12" s="18" t="s">
        <v>16</v>
      </c>
      <c r="H12" s="18" t="s">
        <v>16</v>
      </c>
      <c r="I12" s="18" t="s">
        <v>16</v>
      </c>
      <c r="J12" s="18" t="s">
        <v>16</v>
      </c>
      <c r="K12" s="18" t="s">
        <v>16</v>
      </c>
      <c r="L12" s="18" t="s">
        <v>16</v>
      </c>
      <c r="M12" s="18" t="s">
        <v>16</v>
      </c>
      <c r="N12" s="18" t="s">
        <v>16</v>
      </c>
      <c r="O12" s="18" t="s">
        <v>16</v>
      </c>
      <c r="P12" s="18" t="s">
        <v>16</v>
      </c>
      <c r="Q12" s="18" t="s">
        <v>16</v>
      </c>
      <c r="R12" s="18" t="s">
        <v>16</v>
      </c>
      <c r="S12" s="18" t="s">
        <v>16</v>
      </c>
      <c r="T12" s="18" t="s">
        <v>16</v>
      </c>
      <c r="U12" s="18" t="s">
        <v>16</v>
      </c>
      <c r="V12" s="18" t="s">
        <v>16</v>
      </c>
      <c r="W12" s="18" t="s">
        <v>16</v>
      </c>
      <c r="X12" s="18" t="s">
        <v>16</v>
      </c>
      <c r="Y12" s="18" t="s">
        <v>16</v>
      </c>
      <c r="Z12" s="19" t="e">
        <f t="shared" si="0"/>
        <v>#DIV/0!</v>
      </c>
      <c r="AA12" s="20">
        <v>7</v>
      </c>
      <c r="AB12" s="21">
        <f t="shared" si="1"/>
        <v>0</v>
      </c>
      <c r="AC12" s="21">
        <f t="shared" si="2"/>
        <v>0</v>
      </c>
    </row>
    <row r="13" spans="1:42" ht="14.25" customHeight="1" x14ac:dyDescent="0.25">
      <c r="A13" s="16">
        <v>8</v>
      </c>
      <c r="B13" s="18">
        <f>HLOOKUP(B5,[1]May.7!B19:Y30,2,0)</f>
        <v>20.79</v>
      </c>
      <c r="C13" s="18">
        <f>HLOOKUP(C5,[1]May.7!C19:Z30,2,0)</f>
        <v>20.79</v>
      </c>
      <c r="D13" s="18">
        <f>HLOOKUP(D5,[1]May.7!D19:AA30,2,0)</f>
        <v>20.79</v>
      </c>
      <c r="E13" s="18">
        <f>HLOOKUP(E5,[1]May.7!E19:AB30,2,0)</f>
        <v>20.79</v>
      </c>
      <c r="F13" s="18">
        <f>HLOOKUP(F5,[1]May.7!F19:AC30,2,0)</f>
        <v>20.79</v>
      </c>
      <c r="G13" s="18" t="str">
        <f>HLOOKUP(G5,[1]May.7!G19:AD30,2,0)</f>
        <v>**.**</v>
      </c>
      <c r="H13" s="18" t="str">
        <f>HLOOKUP(H5,[1]May.7!H19:AE30,2,0)</f>
        <v>**.**</v>
      </c>
      <c r="I13" s="18" t="str">
        <f>HLOOKUP(I5,[1]May.7!I19:AF30,2,0)</f>
        <v>**.**</v>
      </c>
      <c r="J13" s="18" t="s">
        <v>16</v>
      </c>
      <c r="K13" s="18" t="s">
        <v>16</v>
      </c>
      <c r="L13" s="18" t="s">
        <v>16</v>
      </c>
      <c r="M13" s="18" t="s">
        <v>16</v>
      </c>
      <c r="N13" s="18" t="s">
        <v>16</v>
      </c>
      <c r="O13" s="18" t="s">
        <v>16</v>
      </c>
      <c r="P13" s="18" t="s">
        <v>16</v>
      </c>
      <c r="Q13" s="18" t="s">
        <v>16</v>
      </c>
      <c r="R13" s="18" t="s">
        <v>16</v>
      </c>
      <c r="S13" s="18" t="s">
        <v>16</v>
      </c>
      <c r="T13" s="18" t="s">
        <v>16</v>
      </c>
      <c r="U13" s="18" t="s">
        <v>16</v>
      </c>
      <c r="V13" s="18" t="s">
        <v>16</v>
      </c>
      <c r="W13" s="18" t="s">
        <v>16</v>
      </c>
      <c r="X13" s="18" t="s">
        <v>16</v>
      </c>
      <c r="Y13" s="18" t="s">
        <v>16</v>
      </c>
      <c r="Z13" s="19">
        <f t="shared" si="0"/>
        <v>20.79</v>
      </c>
      <c r="AA13" s="20">
        <v>8</v>
      </c>
      <c r="AB13" s="21">
        <f t="shared" si="1"/>
        <v>20.79</v>
      </c>
      <c r="AC13" s="21">
        <f t="shared" si="2"/>
        <v>20.79</v>
      </c>
    </row>
    <row r="14" spans="1:42" ht="14.25" customHeight="1" x14ac:dyDescent="0.25">
      <c r="A14" s="16">
        <v>9</v>
      </c>
      <c r="B14" s="18">
        <f>HLOOKUP(B5,[1]May.8!B19:Y30,2,0)</f>
        <v>20.79</v>
      </c>
      <c r="C14" s="18" t="str">
        <f>HLOOKUP(C5,[1]May.8!C19:Z30,2,0)</f>
        <v>**.**</v>
      </c>
      <c r="D14" s="18">
        <f>HLOOKUP(D5,[1]May.8!D19:AA30,2,0)</f>
        <v>20.79</v>
      </c>
      <c r="E14" s="18">
        <f>HLOOKUP(E5,[1]May.8!E19:AB30,2,0)</f>
        <v>20.79</v>
      </c>
      <c r="F14" s="18">
        <f>HLOOKUP(F5,[1]May.8!F19:AC30,2,0)</f>
        <v>20.79</v>
      </c>
      <c r="G14" s="18">
        <f>HLOOKUP(G5,[1]May.8!G19:AD30,2,0)</f>
        <v>20.79</v>
      </c>
      <c r="H14" s="18">
        <f>HLOOKUP(H5,[1]May.8!H19:AE30,2,0)</f>
        <v>20.79</v>
      </c>
      <c r="I14" s="18">
        <f>HLOOKUP(I5,[1]May.8!I19:AF30,2,0)</f>
        <v>20.79</v>
      </c>
      <c r="J14" s="18">
        <f>HLOOKUP(J5,[1]May.8!J19:AG30,2,0)</f>
        <v>20.79</v>
      </c>
      <c r="K14" s="18" t="s">
        <v>16</v>
      </c>
      <c r="L14" s="18" t="s">
        <v>16</v>
      </c>
      <c r="M14" s="18" t="s">
        <v>16</v>
      </c>
      <c r="N14" s="18" t="s">
        <v>16</v>
      </c>
      <c r="O14" s="18" t="s">
        <v>16</v>
      </c>
      <c r="P14" s="18" t="s">
        <v>16</v>
      </c>
      <c r="Q14" s="18" t="s">
        <v>16</v>
      </c>
      <c r="R14" s="18" t="s">
        <v>16</v>
      </c>
      <c r="S14" s="18" t="s">
        <v>16</v>
      </c>
      <c r="T14" s="18" t="s">
        <v>16</v>
      </c>
      <c r="U14" s="18" t="s">
        <v>16</v>
      </c>
      <c r="V14" s="18" t="s">
        <v>16</v>
      </c>
      <c r="W14" s="18" t="s">
        <v>16</v>
      </c>
      <c r="X14" s="18" t="s">
        <v>16</v>
      </c>
      <c r="Y14" s="18" t="s">
        <v>16</v>
      </c>
      <c r="Z14" s="19">
        <f t="shared" si="0"/>
        <v>20.789999999999996</v>
      </c>
      <c r="AA14" s="20">
        <v>9</v>
      </c>
      <c r="AB14" s="21">
        <f t="shared" si="1"/>
        <v>20.79</v>
      </c>
      <c r="AC14" s="21">
        <f t="shared" si="2"/>
        <v>20.79</v>
      </c>
    </row>
    <row r="15" spans="1:42" ht="14.25" customHeight="1" x14ac:dyDescent="0.25">
      <c r="A15" s="16">
        <v>10</v>
      </c>
      <c r="B15" s="18" t="s">
        <v>16</v>
      </c>
      <c r="C15" s="18" t="s">
        <v>16</v>
      </c>
      <c r="D15" s="18" t="s">
        <v>16</v>
      </c>
      <c r="E15" s="18" t="s">
        <v>16</v>
      </c>
      <c r="F15" s="18" t="s">
        <v>16</v>
      </c>
      <c r="G15" s="18" t="s">
        <v>16</v>
      </c>
      <c r="H15" s="18" t="s">
        <v>16</v>
      </c>
      <c r="I15" s="18" t="s">
        <v>16</v>
      </c>
      <c r="J15" s="18" t="s">
        <v>16</v>
      </c>
      <c r="K15" s="18" t="s">
        <v>16</v>
      </c>
      <c r="L15" s="18" t="s">
        <v>16</v>
      </c>
      <c r="M15" s="18" t="s">
        <v>16</v>
      </c>
      <c r="N15" s="18" t="s">
        <v>16</v>
      </c>
      <c r="O15" s="18" t="s">
        <v>16</v>
      </c>
      <c r="P15" s="18" t="s">
        <v>16</v>
      </c>
      <c r="Q15" s="18" t="s">
        <v>16</v>
      </c>
      <c r="R15" s="18" t="s">
        <v>16</v>
      </c>
      <c r="S15" s="18" t="s">
        <v>16</v>
      </c>
      <c r="T15" s="18" t="s">
        <v>16</v>
      </c>
      <c r="U15" s="18" t="s">
        <v>16</v>
      </c>
      <c r="V15" s="18" t="s">
        <v>16</v>
      </c>
      <c r="W15" s="18" t="s">
        <v>16</v>
      </c>
      <c r="X15" s="18" t="s">
        <v>16</v>
      </c>
      <c r="Y15" s="18" t="s">
        <v>16</v>
      </c>
      <c r="Z15" s="19" t="e">
        <f t="shared" si="0"/>
        <v>#DIV/0!</v>
      </c>
      <c r="AA15" s="20">
        <v>10</v>
      </c>
      <c r="AB15" s="21">
        <f t="shared" si="1"/>
        <v>0</v>
      </c>
      <c r="AC15" s="21">
        <f t="shared" si="2"/>
        <v>0</v>
      </c>
    </row>
    <row r="16" spans="1:42" ht="14.25" customHeight="1" x14ac:dyDescent="0.25">
      <c r="A16" s="16">
        <v>11</v>
      </c>
      <c r="B16" s="18">
        <f>HLOOKUP(B5,[1]May.11!B19:Y30,2,0)</f>
        <v>20.79</v>
      </c>
      <c r="C16" s="18">
        <f>HLOOKUP(C5,[1]May.11!C19:Z30,2,0)</f>
        <v>20.79</v>
      </c>
      <c r="D16" s="18">
        <f>HLOOKUP(D5,[1]May.11!D19:AA30,2,0)</f>
        <v>20.79</v>
      </c>
      <c r="E16" s="18" t="str">
        <f>HLOOKUP(E5,[1]May.11!E19:AB30,2,0)</f>
        <v>**.**</v>
      </c>
      <c r="F16" s="18">
        <f>HLOOKUP(F5,[1]May.11!F19:AC30,2,0)</f>
        <v>20.79</v>
      </c>
      <c r="G16" s="18">
        <f>HLOOKUP(G5,[1]May.11!G19:AD30,2,0)</f>
        <v>20.79</v>
      </c>
      <c r="H16" s="18">
        <f>HLOOKUP(H5,[1]May.11!H19:AE30,2,0)</f>
        <v>20.79</v>
      </c>
      <c r="I16" s="18">
        <f>HLOOKUP(I5,[1]May.11!I19:AF30,2,0)</f>
        <v>20.79</v>
      </c>
      <c r="J16" s="18">
        <f>HLOOKUP(J5,[1]May.11!J19:AG30,2,0)</f>
        <v>20.79</v>
      </c>
      <c r="K16" s="18">
        <f>HLOOKUP(K5,[1]May.11!K19:AH30,2,0)</f>
        <v>20.79</v>
      </c>
      <c r="L16" s="18">
        <f>HLOOKUP(L5,[1]May.11!L19:AI30,2,0)</f>
        <v>20.79</v>
      </c>
      <c r="M16" s="18">
        <f>HLOOKUP(M5,[1]May.11!M19:AJ30,2,0)</f>
        <v>20.79</v>
      </c>
      <c r="N16" s="18">
        <f>HLOOKUP(N5,[1]May.11!N19:AK30,2,0)</f>
        <v>20.79</v>
      </c>
      <c r="O16" s="18">
        <f>HLOOKUP(O5,[1]May.11!O19:AL30,2,0)</f>
        <v>20.79</v>
      </c>
      <c r="P16" s="18">
        <f>HLOOKUP(P5,[1]May.11!P19:AM30,2,0)</f>
        <v>20.79</v>
      </c>
      <c r="Q16" s="18">
        <f>HLOOKUP(Q5,[1]May.11!Q19:AN30,2,0)</f>
        <v>20.79</v>
      </c>
      <c r="R16" s="18">
        <f>HLOOKUP(R5,[1]May.11!R19:AO30,2,0)</f>
        <v>20.79</v>
      </c>
      <c r="S16" s="18">
        <f>HLOOKUP(S5,[1]May.11!S19:AP30,2,0)</f>
        <v>20.79</v>
      </c>
      <c r="T16" s="18">
        <f>HLOOKUP(T5,[1]May.11!T19:AQ30,2,0)</f>
        <v>20.79</v>
      </c>
      <c r="U16" s="18">
        <f>HLOOKUP(U5,[1]May.11!U19:AR30,2,0)</f>
        <v>20.79</v>
      </c>
      <c r="V16" s="18">
        <f>HLOOKUP(V5,[1]May.11!V19:AS30,2,0)</f>
        <v>20.79</v>
      </c>
      <c r="W16" s="18">
        <f>HLOOKUP(W5,[1]May.11!W19:AT30,2,0)</f>
        <v>20.79</v>
      </c>
      <c r="X16" s="18">
        <f>HLOOKUP(X5,[1]May.11!X19:AU30,2,0)</f>
        <v>20.79</v>
      </c>
      <c r="Y16" s="18">
        <f>HLOOKUP(Y5,[1]May.11!Y19:AV30,2,0)</f>
        <v>20.79</v>
      </c>
      <c r="Z16" s="19">
        <f t="shared" si="0"/>
        <v>20.790000000000006</v>
      </c>
      <c r="AA16" s="20">
        <v>11</v>
      </c>
      <c r="AB16" s="21">
        <f t="shared" si="1"/>
        <v>20.79</v>
      </c>
      <c r="AC16" s="21">
        <f t="shared" si="2"/>
        <v>20.79</v>
      </c>
    </row>
    <row r="17" spans="1:29" ht="14.25" customHeight="1" x14ac:dyDescent="0.25">
      <c r="A17" s="16">
        <v>12</v>
      </c>
      <c r="B17" s="18">
        <v>20.79</v>
      </c>
      <c r="C17" s="18">
        <v>20.79</v>
      </c>
      <c r="D17" s="18">
        <v>20.79</v>
      </c>
      <c r="E17" s="18">
        <v>20.79</v>
      </c>
      <c r="F17" s="18">
        <v>20.79</v>
      </c>
      <c r="G17" s="18" t="s">
        <v>16</v>
      </c>
      <c r="H17" s="18" t="s">
        <v>16</v>
      </c>
      <c r="I17" s="18" t="s">
        <v>16</v>
      </c>
      <c r="J17" s="18" t="s">
        <v>16</v>
      </c>
      <c r="K17" s="18" t="s">
        <v>16</v>
      </c>
      <c r="L17" s="18" t="s">
        <v>16</v>
      </c>
      <c r="M17" s="18" t="s">
        <v>16</v>
      </c>
      <c r="N17" s="18" t="s">
        <v>16</v>
      </c>
      <c r="O17" s="18" t="s">
        <v>16</v>
      </c>
      <c r="P17" s="18" t="s">
        <v>16</v>
      </c>
      <c r="Q17" s="18" t="s">
        <v>16</v>
      </c>
      <c r="R17" s="18" t="s">
        <v>16</v>
      </c>
      <c r="S17" s="18" t="s">
        <v>16</v>
      </c>
      <c r="T17" s="18" t="s">
        <v>16</v>
      </c>
      <c r="U17" s="18" t="s">
        <v>16</v>
      </c>
      <c r="V17" s="18" t="s">
        <v>16</v>
      </c>
      <c r="W17" s="18" t="s">
        <v>16</v>
      </c>
      <c r="X17" s="18" t="s">
        <v>16</v>
      </c>
      <c r="Y17" s="18" t="s">
        <v>16</v>
      </c>
      <c r="Z17" s="19">
        <f t="shared" si="0"/>
        <v>20.79</v>
      </c>
      <c r="AA17" s="20">
        <v>12</v>
      </c>
      <c r="AB17" s="21">
        <f t="shared" si="1"/>
        <v>20.79</v>
      </c>
      <c r="AC17" s="21">
        <f t="shared" si="2"/>
        <v>20.79</v>
      </c>
    </row>
    <row r="18" spans="1:29" ht="14.25" customHeight="1" x14ac:dyDescent="0.25">
      <c r="A18" s="16">
        <v>13</v>
      </c>
      <c r="B18" s="18">
        <f>HLOOKUP(B5,[1]May.13!B19:Y30,2,0)</f>
        <v>20.79</v>
      </c>
      <c r="C18" s="18">
        <f>HLOOKUP(C5,[1]May.13!C19:Z30,2,0)</f>
        <v>20.79</v>
      </c>
      <c r="D18" s="18">
        <f>HLOOKUP(D5,[1]May.13!D19:AA30,2,0)</f>
        <v>20.79</v>
      </c>
      <c r="E18" s="18">
        <f>HLOOKUP(E5,[1]May.13!E19:AB30,2,0)</f>
        <v>20.79</v>
      </c>
      <c r="F18" s="18">
        <f>HLOOKUP(F5,[1]May.13!F19:AC30,2,0)</f>
        <v>20.79</v>
      </c>
      <c r="G18" s="18">
        <f>HLOOKUP(G5,[1]May.13!G19:AD30,2,0)</f>
        <v>20.79</v>
      </c>
      <c r="H18" s="18">
        <f>HLOOKUP(H5,[1]May.13!H19:AE30,2,0)</f>
        <v>20.79</v>
      </c>
      <c r="I18" s="18">
        <f>HLOOKUP(I5,[1]May.13!I19:AF30,2,0)</f>
        <v>20.79</v>
      </c>
      <c r="J18" s="18">
        <f>HLOOKUP(J5,[1]May.13!J19:AG30,2,0)</f>
        <v>20.79</v>
      </c>
      <c r="K18" s="18" t="s">
        <v>16</v>
      </c>
      <c r="L18" s="18" t="s">
        <v>16</v>
      </c>
      <c r="M18" s="18" t="s">
        <v>16</v>
      </c>
      <c r="N18" s="18" t="s">
        <v>16</v>
      </c>
      <c r="O18" s="18" t="s">
        <v>16</v>
      </c>
      <c r="P18" s="18" t="s">
        <v>16</v>
      </c>
      <c r="Q18" s="18" t="s">
        <v>16</v>
      </c>
      <c r="R18" s="18" t="s">
        <v>16</v>
      </c>
      <c r="S18" s="18" t="s">
        <v>16</v>
      </c>
      <c r="T18" s="18" t="s">
        <v>16</v>
      </c>
      <c r="U18" s="18" t="s">
        <v>16</v>
      </c>
      <c r="V18" s="18" t="s">
        <v>16</v>
      </c>
      <c r="W18" s="18" t="s">
        <v>16</v>
      </c>
      <c r="X18" s="18" t="s">
        <v>16</v>
      </c>
      <c r="Y18" s="18" t="s">
        <v>16</v>
      </c>
      <c r="Z18" s="19">
        <f t="shared" si="0"/>
        <v>20.789999999999996</v>
      </c>
      <c r="AA18" s="20">
        <v>13</v>
      </c>
      <c r="AB18" s="21">
        <f t="shared" si="1"/>
        <v>20.79</v>
      </c>
      <c r="AC18" s="21">
        <f t="shared" si="2"/>
        <v>20.79</v>
      </c>
    </row>
    <row r="19" spans="1:29" ht="14.25" customHeight="1" x14ac:dyDescent="0.25">
      <c r="A19" s="16">
        <v>14</v>
      </c>
      <c r="B19" s="18" t="str">
        <f>HLOOKUP(B5,[1]May.14!B19:Y30,2,0)</f>
        <v>**.**</v>
      </c>
      <c r="C19" s="18">
        <f>HLOOKUP(C5,[1]May.14!C19:Z30,2,0)</f>
        <v>20.79</v>
      </c>
      <c r="D19" s="18">
        <f>HLOOKUP(D5,[1]May.14!D19:AA30,2,0)</f>
        <v>20.79</v>
      </c>
      <c r="E19" s="18">
        <f>HLOOKUP(E5,[1]May.14!E19:AB30,2,0)</f>
        <v>20.79</v>
      </c>
      <c r="F19" s="18">
        <f>HLOOKUP(F5,[1]May.14!F19:AC30,2,0)</f>
        <v>20.79</v>
      </c>
      <c r="G19" s="18">
        <f>HLOOKUP(G5,[1]May.14!G19:AD30,2,0)</f>
        <v>20.79</v>
      </c>
      <c r="H19" s="18" t="str">
        <f>HLOOKUP(H5,[1]May.14!H19:AE30,2,0)</f>
        <v>**.**</v>
      </c>
      <c r="I19" s="18">
        <f>HLOOKUP(I5,[1]May.14!I19:AF30,2,0)</f>
        <v>20.79</v>
      </c>
      <c r="J19" s="18">
        <f>HLOOKUP(J5,[1]May.14!J19:AG30,2,0)</f>
        <v>20.79</v>
      </c>
      <c r="K19" s="18">
        <f>HLOOKUP(K5,[1]May.14!K19:AH30,2,0)</f>
        <v>20.79</v>
      </c>
      <c r="L19" s="18">
        <f>HLOOKUP(L5,[1]May.14!L19:AI30,2,0)</f>
        <v>20.79</v>
      </c>
      <c r="M19" s="18">
        <f>HLOOKUP(M5,[1]May.14!M19:AJ30,2,0)</f>
        <v>20.79</v>
      </c>
      <c r="N19" s="18">
        <f>HLOOKUP(N5,[1]May.14!N19:AK30,2,0)</f>
        <v>20.79</v>
      </c>
      <c r="O19" s="18">
        <f>HLOOKUP(O5,[1]May.14!O19:AL30,2,0)</f>
        <v>20.79</v>
      </c>
      <c r="P19" s="18" t="str">
        <f>HLOOKUP(P5,[1]May.14!P19:AM30,2,0)</f>
        <v>**.**</v>
      </c>
      <c r="Q19" s="18">
        <f>HLOOKUP(Q5,[1]May.14!Q19:AN30,2,0)</f>
        <v>20.79</v>
      </c>
      <c r="R19" s="18">
        <f>HLOOKUP(R5,[1]May.14!R19:AO30,2,0)</f>
        <v>20.79</v>
      </c>
      <c r="S19" s="18">
        <f>HLOOKUP(S5,[1]May.14!S19:AP30,2,0)</f>
        <v>20.79</v>
      </c>
      <c r="T19" s="18">
        <f>HLOOKUP(T5,[1]May.14!T19:AQ30,2,0)</f>
        <v>20.79</v>
      </c>
      <c r="U19" s="18" t="str">
        <f>HLOOKUP(U5,[1]May.14!U19:AR30,2,0)</f>
        <v>**.**</v>
      </c>
      <c r="V19" s="18">
        <f>HLOOKUP(V5,[1]May.14!V19:AS30,2,0)</f>
        <v>20.79</v>
      </c>
      <c r="W19" s="18">
        <f>HLOOKUP(W5,[1]May.14!W19:AT30,2,0)</f>
        <v>20.79</v>
      </c>
      <c r="X19" s="18" t="str">
        <f>HLOOKUP(X5,[1]May.14!X19:AU30,2,0)</f>
        <v>**.**</v>
      </c>
      <c r="Y19" s="18">
        <f>HLOOKUP(Y5,[1]May.14!Y19:AV30,2,0)</f>
        <v>20.79</v>
      </c>
      <c r="Z19" s="19">
        <f t="shared" si="0"/>
        <v>20.790000000000003</v>
      </c>
      <c r="AA19" s="20">
        <v>14</v>
      </c>
      <c r="AB19" s="21">
        <f t="shared" si="1"/>
        <v>20.79</v>
      </c>
      <c r="AC19" s="21">
        <f t="shared" si="2"/>
        <v>20.79</v>
      </c>
    </row>
    <row r="20" spans="1:29" ht="14.25" customHeight="1" x14ac:dyDescent="0.25">
      <c r="A20" s="16">
        <v>15</v>
      </c>
      <c r="B20" s="18">
        <f>HLOOKUP(B5,'[1]May 15'!B19:Y30,2,0)</f>
        <v>20.79</v>
      </c>
      <c r="C20" s="18" t="str">
        <f>HLOOKUP(C5,'[1]May 15'!C19:Z30,2,0)</f>
        <v>**.**</v>
      </c>
      <c r="D20" s="18">
        <f>HLOOKUP(D5,'[1]May 15'!D19:AA30,2,0)</f>
        <v>20.79</v>
      </c>
      <c r="E20" s="18" t="str">
        <f>HLOOKUP(E5,'[1]May 15'!E19:AB30,2,0)</f>
        <v>**.**</v>
      </c>
      <c r="F20" s="18">
        <f>HLOOKUP(F5,'[1]May 15'!F19:AC30,2,0)</f>
        <v>20.79</v>
      </c>
      <c r="G20" s="18" t="str">
        <f>HLOOKUP(G5,'[1]May 15'!G19:AD30,2,0)</f>
        <v>**.**</v>
      </c>
      <c r="H20" s="18">
        <f>HLOOKUP(H5,'[1]May 15'!H19:AE30,2,0)</f>
        <v>20.79</v>
      </c>
      <c r="I20" s="18">
        <f>HLOOKUP(I5,'[1]May 15'!I19:AF30,2,0)</f>
        <v>20.79</v>
      </c>
      <c r="J20" s="18">
        <f>HLOOKUP(J5,'[1]May 15'!J19:AG30,2,0)</f>
        <v>20.79</v>
      </c>
      <c r="K20" s="18">
        <f>HLOOKUP(K5,'[1]May 15'!K19:AH30,2,0)</f>
        <v>20.79</v>
      </c>
      <c r="L20" s="18">
        <f>HLOOKUP(L5,'[1]May 15'!L19:AI30,2,0)</f>
        <v>20.81</v>
      </c>
      <c r="M20" s="18">
        <f>HLOOKUP(M5,'[1]May 15'!M19:AJ30,2,0)</f>
        <v>21.01</v>
      </c>
      <c r="N20" s="18">
        <f>HLOOKUP(N5,'[1]May 15'!N19:AK30,2,0)</f>
        <v>21.95</v>
      </c>
      <c r="O20" s="18">
        <f>HLOOKUP(O5,'[1]May 15'!O19:AL30,2,0)</f>
        <v>22.1</v>
      </c>
      <c r="P20" s="18">
        <f>HLOOKUP(P5,'[1]May 15'!P19:AM30,2,0)</f>
        <v>21.92</v>
      </c>
      <c r="Q20" s="18">
        <f>HLOOKUP(Q5,'[1]May 15'!Q19:AN30,2,0)</f>
        <v>22.58</v>
      </c>
      <c r="R20" s="18">
        <f>HLOOKUP(R5,'[1]May 15'!R19:AO30,2,0)</f>
        <v>22.66</v>
      </c>
      <c r="S20" s="18">
        <f>HLOOKUP(S5,'[1]May 15'!S19:AP30,2,0)</f>
        <v>22.53</v>
      </c>
      <c r="T20" s="18">
        <f>HLOOKUP(T5,'[1]May 15'!T19:AQ30,2,0)</f>
        <v>22.38</v>
      </c>
      <c r="U20" s="18">
        <f>HLOOKUP(U5,'[1]May 15'!U19:AR30,2,0)</f>
        <v>22.23</v>
      </c>
      <c r="V20" s="18">
        <f>HLOOKUP(V5,'[1]May 15'!V19:AS30,2,0)</f>
        <v>22.06</v>
      </c>
      <c r="W20" s="18">
        <f>HLOOKUP(W5,'[1]May 15'!W19:AT30,2,0)</f>
        <v>21.88</v>
      </c>
      <c r="X20" s="18">
        <f>HLOOKUP(X5,'[1]May 15'!X19:AU30,2,0)</f>
        <v>21.71</v>
      </c>
      <c r="Y20" s="18">
        <f>HLOOKUP(Y5,'[1]May 15'!Y19:AV30,2,0)</f>
        <v>21.71</v>
      </c>
      <c r="Z20" s="19">
        <f t="shared" si="0"/>
        <v>21.574285714285708</v>
      </c>
      <c r="AA20" s="20">
        <v>15</v>
      </c>
      <c r="AB20" s="21">
        <f t="shared" si="1"/>
        <v>22.66</v>
      </c>
      <c r="AC20" s="21">
        <f t="shared" si="2"/>
        <v>20.79</v>
      </c>
    </row>
    <row r="21" spans="1:29" ht="14.25" customHeight="1" x14ac:dyDescent="0.25">
      <c r="A21" s="16">
        <v>16</v>
      </c>
      <c r="B21" s="18">
        <f>HLOOKUP(B5,'[1]May 16'!B19:Y30,2,0)</f>
        <v>21.7</v>
      </c>
      <c r="C21" s="18">
        <f>HLOOKUP(C5,'[1]May 16'!C19:Z30,2,0)</f>
        <v>21.69</v>
      </c>
      <c r="D21" s="18">
        <f>HLOOKUP(D5,'[1]May 16'!D19:AA30,2,0)</f>
        <v>21.69</v>
      </c>
      <c r="E21" s="18" t="str">
        <f>HLOOKUP(E5,'[1]May 16'!E19:AB30,2,0)</f>
        <v>**.**</v>
      </c>
      <c r="F21" s="18" t="str">
        <f>HLOOKUP(F5,'[1]May 16'!F19:AC30,2,0)</f>
        <v>**.**</v>
      </c>
      <c r="G21" s="18">
        <f>HLOOKUP(G5,'[1]May 16'!G19:AD30,2,0)</f>
        <v>21.42</v>
      </c>
      <c r="H21" s="18" t="str">
        <f>HLOOKUP(H5,'[1]May 16'!H19:AE30,2,0)</f>
        <v>**.**</v>
      </c>
      <c r="I21" s="18" t="str">
        <f>HLOOKUP(I5,'[1]May 16'!I19:AF30,2,0)</f>
        <v>**.**</v>
      </c>
      <c r="J21" s="18">
        <f>HLOOKUP(J5,'[1]May 16'!J19:AG30,2,0)</f>
        <v>21.22</v>
      </c>
      <c r="K21" s="18" t="str">
        <f>HLOOKUP(K5,'[1]May 16'!K19:AH30,2,0)</f>
        <v>**.**</v>
      </c>
      <c r="L21" s="18">
        <f>HLOOKUP(L5,'[1]May 16'!L19:AI30,2,0)</f>
        <v>21.11</v>
      </c>
      <c r="M21" s="18">
        <f>HLOOKUP(M5,'[1]May 16'!M19:AJ30,2,0)</f>
        <v>21.07</v>
      </c>
      <c r="N21" s="18">
        <f>HLOOKUP(N5,'[1]May 16'!N19:AK30,2,0)</f>
        <v>21.02</v>
      </c>
      <c r="O21" s="18">
        <f>HLOOKUP(O5,'[1]May 16'!O19:AL30,2,0)</f>
        <v>20.98</v>
      </c>
      <c r="P21" s="18">
        <f>HLOOKUP(P5,'[1]May 16'!P19:AM30,2,0)</f>
        <v>20.94</v>
      </c>
      <c r="Q21" s="18">
        <f>HLOOKUP(Q5,'[1]May 16'!Q19:AN30,2,0)</f>
        <v>20.91</v>
      </c>
      <c r="R21" s="18">
        <f>HLOOKUP(R5,'[1]May 16'!R19:AO30,2,0)</f>
        <v>20.89</v>
      </c>
      <c r="S21" s="18">
        <f>HLOOKUP(S5,'[1]May 16'!S19:AP30,2,0)</f>
        <v>20.88</v>
      </c>
      <c r="T21" s="18">
        <f>HLOOKUP(T5,'[1]May 16'!T19:AQ30,2,0)</f>
        <v>20.88</v>
      </c>
      <c r="U21" s="18">
        <f>HLOOKUP(U5,'[1]May 16'!U19:AR30,2,0)</f>
        <v>20.88</v>
      </c>
      <c r="V21" s="18">
        <f>HLOOKUP(V5,'[1]May 16'!V19:AS30,2,0)</f>
        <v>20.88</v>
      </c>
      <c r="W21" s="18">
        <f>HLOOKUP(W5,'[1]May 16'!W19:AT30,2,0)</f>
        <v>20.88</v>
      </c>
      <c r="X21" s="18">
        <f>HLOOKUP(X5,'[1]May 16'!X19:AU30,2,0)</f>
        <v>20.88</v>
      </c>
      <c r="Y21" s="18">
        <f>HLOOKUP(Y5,'[1]May 16'!Y19:AV30,2,0)</f>
        <v>20.88</v>
      </c>
      <c r="Z21" s="19">
        <f t="shared" si="0"/>
        <v>21.094736842105259</v>
      </c>
      <c r="AA21" s="20">
        <v>16</v>
      </c>
      <c r="AB21" s="21">
        <f t="shared" si="1"/>
        <v>21.7</v>
      </c>
      <c r="AC21" s="21">
        <f t="shared" si="2"/>
        <v>20.88</v>
      </c>
    </row>
    <row r="22" spans="1:29" ht="14.25" customHeight="1" x14ac:dyDescent="0.25">
      <c r="A22" s="16">
        <v>17</v>
      </c>
      <c r="B22" s="18">
        <f>HLOOKUP(B5,[1]May17!B19:Y30,2,0)</f>
        <v>20.88</v>
      </c>
      <c r="C22" s="18">
        <f>HLOOKUP(C5,[1]May17!C19:Z30,2,0)</f>
        <v>20.87</v>
      </c>
      <c r="D22" s="18">
        <f>HLOOKUP(D5,[1]May17!D19:AA30,2,0)</f>
        <v>20.87</v>
      </c>
      <c r="E22" s="18">
        <f>HLOOKUP(E5,[1]May17!E19:AB30,2,0)</f>
        <v>20.87</v>
      </c>
      <c r="F22" s="18">
        <f>HLOOKUP(F5,[1]May17!F19:AC30,2,0)</f>
        <v>20.87</v>
      </c>
      <c r="G22" s="18">
        <f>HLOOKUP(G5,[1]May17!G19:AD30,2,0)</f>
        <v>20.87</v>
      </c>
      <c r="H22" s="18">
        <f>HLOOKUP(H5,[1]May17!H19:AE30,2,0)</f>
        <v>20.87</v>
      </c>
      <c r="I22" s="18">
        <f>HLOOKUP(I5,[1]May17!I19:AF30,2,0)</f>
        <v>20.87</v>
      </c>
      <c r="J22" s="18">
        <f>HLOOKUP(J5,[1]May17!J19:AG30,2,0)</f>
        <v>20.87</v>
      </c>
      <c r="K22" s="18">
        <f>HLOOKUP(K5,[1]May17!K19:AH30,2,0)</f>
        <v>20.87</v>
      </c>
      <c r="L22" s="18" t="s">
        <v>16</v>
      </c>
      <c r="M22" s="18" t="s">
        <v>16</v>
      </c>
      <c r="N22" s="18" t="s">
        <v>16</v>
      </c>
      <c r="O22" s="18" t="s">
        <v>16</v>
      </c>
      <c r="P22" s="18" t="s">
        <v>16</v>
      </c>
      <c r="Q22" s="18" t="s">
        <v>16</v>
      </c>
      <c r="R22" s="18" t="s">
        <v>16</v>
      </c>
      <c r="S22" s="18" t="s">
        <v>16</v>
      </c>
      <c r="T22" s="18" t="s">
        <v>16</v>
      </c>
      <c r="U22" s="18" t="s">
        <v>16</v>
      </c>
      <c r="V22" s="18" t="s">
        <v>16</v>
      </c>
      <c r="W22" s="18" t="s">
        <v>16</v>
      </c>
      <c r="X22" s="18" t="s">
        <v>16</v>
      </c>
      <c r="Y22" s="18" t="s">
        <v>16</v>
      </c>
      <c r="Z22" s="19">
        <f t="shared" si="0"/>
        <v>20.871000000000002</v>
      </c>
      <c r="AA22" s="20">
        <v>17</v>
      </c>
      <c r="AB22" s="21">
        <f>MAX(B22:Y22)</f>
        <v>20.88</v>
      </c>
      <c r="AC22" s="21">
        <f>MIN(B22:Y22)</f>
        <v>20.87</v>
      </c>
    </row>
    <row r="23" spans="1:29" ht="14.25" customHeight="1" x14ac:dyDescent="0.25">
      <c r="A23" s="16">
        <v>18</v>
      </c>
      <c r="B23" s="18" t="s">
        <v>16</v>
      </c>
      <c r="C23" s="18" t="s">
        <v>16</v>
      </c>
      <c r="D23" s="18" t="s">
        <v>16</v>
      </c>
      <c r="E23" s="18" t="s">
        <v>16</v>
      </c>
      <c r="F23" s="18" t="s">
        <v>16</v>
      </c>
      <c r="G23" s="18" t="s">
        <v>16</v>
      </c>
      <c r="H23" s="18" t="s">
        <v>16</v>
      </c>
      <c r="I23" s="18" t="s">
        <v>16</v>
      </c>
      <c r="J23" s="18" t="s">
        <v>16</v>
      </c>
      <c r="K23" s="18" t="s">
        <v>16</v>
      </c>
      <c r="L23" s="18" t="s">
        <v>16</v>
      </c>
      <c r="M23" s="18" t="s">
        <v>16</v>
      </c>
      <c r="N23" s="18" t="s">
        <v>16</v>
      </c>
      <c r="O23" s="18" t="s">
        <v>16</v>
      </c>
      <c r="P23" s="18" t="s">
        <v>16</v>
      </c>
      <c r="Q23" s="18" t="s">
        <v>16</v>
      </c>
      <c r="R23" s="18" t="s">
        <v>16</v>
      </c>
      <c r="S23" s="18" t="s">
        <v>16</v>
      </c>
      <c r="T23" s="18" t="s">
        <v>16</v>
      </c>
      <c r="U23" s="18" t="s">
        <v>16</v>
      </c>
      <c r="V23" s="18" t="s">
        <v>16</v>
      </c>
      <c r="W23" s="18" t="s">
        <v>16</v>
      </c>
      <c r="X23" s="18" t="s">
        <v>16</v>
      </c>
      <c r="Y23" s="18" t="s">
        <v>16</v>
      </c>
      <c r="Z23" s="19" t="e">
        <f t="shared" si="0"/>
        <v>#DIV/0!</v>
      </c>
      <c r="AA23" s="20">
        <v>18</v>
      </c>
      <c r="AB23" s="21">
        <f t="shared" si="1"/>
        <v>0</v>
      </c>
      <c r="AC23" s="21">
        <f t="shared" si="2"/>
        <v>0</v>
      </c>
    </row>
    <row r="24" spans="1:29" ht="14.25" customHeight="1" x14ac:dyDescent="0.25">
      <c r="A24" s="16">
        <v>19</v>
      </c>
      <c r="B24" s="18" t="s">
        <v>16</v>
      </c>
      <c r="C24" s="18" t="s">
        <v>16</v>
      </c>
      <c r="D24" s="18" t="s">
        <v>16</v>
      </c>
      <c r="E24" s="18" t="s">
        <v>16</v>
      </c>
      <c r="F24" s="18" t="s">
        <v>16</v>
      </c>
      <c r="G24" s="18" t="s">
        <v>16</v>
      </c>
      <c r="H24" s="18" t="s">
        <v>16</v>
      </c>
      <c r="I24" s="18" t="s">
        <v>16</v>
      </c>
      <c r="J24" s="18" t="s">
        <v>16</v>
      </c>
      <c r="K24" s="18" t="s">
        <v>16</v>
      </c>
      <c r="L24" s="18" t="s">
        <v>16</v>
      </c>
      <c r="M24" s="18" t="s">
        <v>16</v>
      </c>
      <c r="N24" s="18" t="s">
        <v>16</v>
      </c>
      <c r="O24" s="18" t="s">
        <v>16</v>
      </c>
      <c r="P24" s="18" t="s">
        <v>16</v>
      </c>
      <c r="Q24" s="18" t="s">
        <v>16</v>
      </c>
      <c r="R24" s="18" t="s">
        <v>16</v>
      </c>
      <c r="S24" s="18" t="s">
        <v>16</v>
      </c>
      <c r="T24" s="18" t="s">
        <v>16</v>
      </c>
      <c r="U24" s="18" t="s">
        <v>16</v>
      </c>
      <c r="V24" s="18" t="s">
        <v>16</v>
      </c>
      <c r="W24" s="18" t="s">
        <v>16</v>
      </c>
      <c r="X24" s="18" t="s">
        <v>16</v>
      </c>
      <c r="Y24" s="18" t="s">
        <v>16</v>
      </c>
      <c r="Z24" s="19" t="e">
        <f t="shared" si="0"/>
        <v>#DIV/0!</v>
      </c>
      <c r="AA24" s="20">
        <v>19</v>
      </c>
      <c r="AB24" s="21">
        <f t="shared" si="1"/>
        <v>0</v>
      </c>
      <c r="AC24" s="21">
        <f t="shared" si="2"/>
        <v>0</v>
      </c>
    </row>
    <row r="25" spans="1:29" ht="14.25" customHeight="1" x14ac:dyDescent="0.25">
      <c r="A25" s="16">
        <v>20</v>
      </c>
      <c r="B25" s="18" t="s">
        <v>16</v>
      </c>
      <c r="C25" s="18" t="s">
        <v>16</v>
      </c>
      <c r="D25" s="18" t="s">
        <v>16</v>
      </c>
      <c r="E25" s="18" t="s">
        <v>16</v>
      </c>
      <c r="F25" s="18" t="s">
        <v>16</v>
      </c>
      <c r="G25" s="18" t="s">
        <v>16</v>
      </c>
      <c r="H25" s="18" t="s">
        <v>16</v>
      </c>
      <c r="I25" s="18" t="s">
        <v>16</v>
      </c>
      <c r="J25" s="18" t="s">
        <v>16</v>
      </c>
      <c r="K25" s="18" t="s">
        <v>16</v>
      </c>
      <c r="L25" s="18" t="s">
        <v>16</v>
      </c>
      <c r="M25" s="18" t="s">
        <v>16</v>
      </c>
      <c r="N25" s="18" t="s">
        <v>16</v>
      </c>
      <c r="O25" s="18" t="s">
        <v>16</v>
      </c>
      <c r="P25" s="18" t="s">
        <v>16</v>
      </c>
      <c r="Q25" s="18" t="s">
        <v>16</v>
      </c>
      <c r="R25" s="18" t="s">
        <v>16</v>
      </c>
      <c r="S25" s="18" t="s">
        <v>16</v>
      </c>
      <c r="T25" s="18" t="s">
        <v>16</v>
      </c>
      <c r="U25" s="18" t="s">
        <v>16</v>
      </c>
      <c r="V25" s="18" t="s">
        <v>16</v>
      </c>
      <c r="W25" s="18" t="s">
        <v>16</v>
      </c>
      <c r="X25" s="18" t="s">
        <v>16</v>
      </c>
      <c r="Y25" s="18" t="s">
        <v>16</v>
      </c>
      <c r="Z25" s="19" t="e">
        <f t="shared" si="0"/>
        <v>#DIV/0!</v>
      </c>
      <c r="AA25" s="20">
        <v>20</v>
      </c>
      <c r="AB25" s="21">
        <f t="shared" si="1"/>
        <v>0</v>
      </c>
      <c r="AC25" s="21">
        <f t="shared" si="2"/>
        <v>0</v>
      </c>
    </row>
    <row r="26" spans="1:29" ht="14.25" customHeight="1" x14ac:dyDescent="0.25">
      <c r="A26" s="16">
        <v>21</v>
      </c>
      <c r="B26" s="18" t="s">
        <v>16</v>
      </c>
      <c r="C26" s="18" t="s">
        <v>16</v>
      </c>
      <c r="D26" s="18" t="s">
        <v>16</v>
      </c>
      <c r="E26" s="18" t="s">
        <v>16</v>
      </c>
      <c r="F26" s="18" t="s">
        <v>16</v>
      </c>
      <c r="G26" s="18" t="s">
        <v>16</v>
      </c>
      <c r="H26" s="18" t="s">
        <v>16</v>
      </c>
      <c r="I26" s="18" t="s">
        <v>16</v>
      </c>
      <c r="J26" s="18" t="s">
        <v>16</v>
      </c>
      <c r="K26" s="18" t="s">
        <v>16</v>
      </c>
      <c r="L26" s="18" t="s">
        <v>16</v>
      </c>
      <c r="M26" s="18" t="s">
        <v>16</v>
      </c>
      <c r="N26" s="18" t="s">
        <v>16</v>
      </c>
      <c r="O26" s="18" t="s">
        <v>16</v>
      </c>
      <c r="P26" s="18" t="s">
        <v>16</v>
      </c>
      <c r="Q26" s="18" t="s">
        <v>16</v>
      </c>
      <c r="R26" s="18" t="s">
        <v>16</v>
      </c>
      <c r="S26" s="18" t="s">
        <v>16</v>
      </c>
      <c r="T26" s="18" t="s">
        <v>16</v>
      </c>
      <c r="U26" s="18" t="s">
        <v>16</v>
      </c>
      <c r="V26" s="18" t="s">
        <v>16</v>
      </c>
      <c r="W26" s="18" t="s">
        <v>16</v>
      </c>
      <c r="X26" s="18" t="s">
        <v>16</v>
      </c>
      <c r="Y26" s="18" t="s">
        <v>16</v>
      </c>
      <c r="Z26" s="19" t="e">
        <f t="shared" si="0"/>
        <v>#DIV/0!</v>
      </c>
      <c r="AA26" s="20">
        <v>21</v>
      </c>
      <c r="AB26" s="21">
        <f t="shared" si="1"/>
        <v>0</v>
      </c>
      <c r="AC26" s="21">
        <f t="shared" si="2"/>
        <v>0</v>
      </c>
    </row>
    <row r="27" spans="1:29" ht="14.25" customHeight="1" x14ac:dyDescent="0.25">
      <c r="A27" s="16">
        <v>22</v>
      </c>
      <c r="B27" s="18">
        <f>HLOOKUP(B5,[1]May22!B19:Y30,2,0)</f>
        <v>20.85</v>
      </c>
      <c r="C27" s="18">
        <f>HLOOKUP(C5,[1]May22!C19:Z30,2,0)</f>
        <v>20.85</v>
      </c>
      <c r="D27" s="18">
        <f>HLOOKUP(D5,[1]May22!D19:AA30,2,0)</f>
        <v>20.85</v>
      </c>
      <c r="E27" s="18">
        <f>HLOOKUP(E5,[1]May22!E19:AB30,2,0)</f>
        <v>20.85</v>
      </c>
      <c r="F27" s="18">
        <f>HLOOKUP(F5,[1]May22!F19:AC30,2,0)</f>
        <v>20.85</v>
      </c>
      <c r="G27" s="18">
        <f>HLOOKUP(G5,[1]May22!G19:AD30,2,0)</f>
        <v>20.85</v>
      </c>
      <c r="H27" s="18">
        <f>HLOOKUP(H5,[1]May22!H19:AE30,2,0)</f>
        <v>20.85</v>
      </c>
      <c r="I27" s="18">
        <f>HLOOKUP(I5,[1]May22!I19:AF30,2,0)</f>
        <v>20.85</v>
      </c>
      <c r="J27" s="18">
        <f>HLOOKUP(J5,[1]May22!J19:AG30,2,0)</f>
        <v>20.85</v>
      </c>
      <c r="K27" s="18" t="s">
        <v>16</v>
      </c>
      <c r="L27" s="18" t="s">
        <v>16</v>
      </c>
      <c r="M27" s="18" t="s">
        <v>16</v>
      </c>
      <c r="N27" s="18" t="s">
        <v>16</v>
      </c>
      <c r="O27" s="18" t="s">
        <v>16</v>
      </c>
      <c r="P27" s="18" t="s">
        <v>16</v>
      </c>
      <c r="Q27" s="18" t="s">
        <v>16</v>
      </c>
      <c r="R27" s="18" t="s">
        <v>16</v>
      </c>
      <c r="S27" s="18" t="s">
        <v>16</v>
      </c>
      <c r="T27" s="18" t="s">
        <v>16</v>
      </c>
      <c r="U27" s="18" t="s">
        <v>16</v>
      </c>
      <c r="V27" s="18" t="s">
        <v>16</v>
      </c>
      <c r="W27" s="18" t="s">
        <v>16</v>
      </c>
      <c r="X27" s="18" t="s">
        <v>16</v>
      </c>
      <c r="Y27" s="18" t="s">
        <v>16</v>
      </c>
      <c r="Z27" s="19">
        <f t="shared" si="0"/>
        <v>20.849999999999998</v>
      </c>
      <c r="AA27" s="20">
        <v>22</v>
      </c>
      <c r="AB27" s="21">
        <f t="shared" si="1"/>
        <v>20.85</v>
      </c>
      <c r="AC27" s="21">
        <f t="shared" si="2"/>
        <v>20.85</v>
      </c>
    </row>
    <row r="28" spans="1:29" ht="14.25" customHeight="1" x14ac:dyDescent="0.25">
      <c r="A28" s="16">
        <v>23</v>
      </c>
      <c r="B28" s="18" t="str">
        <f>HLOOKUP(B5,[1]May23!B19:Y30,2,0)</f>
        <v>**.**</v>
      </c>
      <c r="C28" s="18" t="str">
        <f>HLOOKUP(C5,[1]May23!C19:Z30,2,0)</f>
        <v>**.**</v>
      </c>
      <c r="D28" s="18" t="str">
        <f>HLOOKUP(D5,[1]May23!D19:AA30,2,0)</f>
        <v>**.**</v>
      </c>
      <c r="E28" s="18" t="str">
        <f>HLOOKUP(E5,[1]May23!E19:AB30,2,0)</f>
        <v>**.**</v>
      </c>
      <c r="F28" s="18" t="str">
        <f>HLOOKUP(F5,[1]May23!F19:AC30,2,0)</f>
        <v>**.**</v>
      </c>
      <c r="G28" s="18" t="str">
        <f>HLOOKUP(G5,[1]May23!G19:AD30,2,0)</f>
        <v>**.**</v>
      </c>
      <c r="H28" s="18">
        <f>HLOOKUP(H5,[1]May23!H19:AE30,2,0)</f>
        <v>20.85</v>
      </c>
      <c r="I28" s="18">
        <f>HLOOKUP(I5,[1]May23!I19:AF30,2,0)</f>
        <v>20.85</v>
      </c>
      <c r="J28" s="18">
        <f>HLOOKUP(J5,[1]May23!J19:AG30,2,0)</f>
        <v>20.85</v>
      </c>
      <c r="K28" s="18" t="s">
        <v>16</v>
      </c>
      <c r="L28" s="18" t="s">
        <v>16</v>
      </c>
      <c r="M28" s="18" t="s">
        <v>16</v>
      </c>
      <c r="N28" s="18" t="s">
        <v>16</v>
      </c>
      <c r="O28" s="18" t="s">
        <v>16</v>
      </c>
      <c r="P28" s="18" t="s">
        <v>16</v>
      </c>
      <c r="Q28" s="18" t="s">
        <v>16</v>
      </c>
      <c r="R28" s="18" t="s">
        <v>16</v>
      </c>
      <c r="S28" s="18" t="s">
        <v>16</v>
      </c>
      <c r="T28" s="18" t="s">
        <v>16</v>
      </c>
      <c r="U28" s="18" t="s">
        <v>16</v>
      </c>
      <c r="V28" s="18" t="s">
        <v>16</v>
      </c>
      <c r="W28" s="18" t="s">
        <v>16</v>
      </c>
      <c r="X28" s="18" t="s">
        <v>16</v>
      </c>
      <c r="Y28" s="18" t="s">
        <v>16</v>
      </c>
      <c r="Z28" s="19">
        <f t="shared" si="0"/>
        <v>20.85</v>
      </c>
      <c r="AA28" s="20">
        <v>23</v>
      </c>
      <c r="AB28" s="21">
        <f t="shared" si="1"/>
        <v>20.85</v>
      </c>
      <c r="AC28" s="21">
        <f t="shared" si="2"/>
        <v>20.85</v>
      </c>
    </row>
    <row r="29" spans="1:29" ht="14.25" customHeight="1" x14ac:dyDescent="0.25">
      <c r="A29" s="16">
        <v>24</v>
      </c>
      <c r="B29" s="18" t="s">
        <v>16</v>
      </c>
      <c r="C29" s="18" t="s">
        <v>16</v>
      </c>
      <c r="D29" s="18" t="s">
        <v>16</v>
      </c>
      <c r="E29" s="18" t="s">
        <v>16</v>
      </c>
      <c r="F29" s="18" t="s">
        <v>16</v>
      </c>
      <c r="G29" s="18" t="s">
        <v>16</v>
      </c>
      <c r="H29" s="18" t="s">
        <v>16</v>
      </c>
      <c r="I29" s="18" t="s">
        <v>16</v>
      </c>
      <c r="J29" s="18" t="s">
        <v>16</v>
      </c>
      <c r="K29" s="18" t="s">
        <v>16</v>
      </c>
      <c r="L29" s="18" t="s">
        <v>16</v>
      </c>
      <c r="M29" s="18" t="s">
        <v>16</v>
      </c>
      <c r="N29" s="18" t="s">
        <v>16</v>
      </c>
      <c r="O29" s="18" t="s">
        <v>16</v>
      </c>
      <c r="P29" s="18" t="s">
        <v>16</v>
      </c>
      <c r="Q29" s="18" t="s">
        <v>16</v>
      </c>
      <c r="R29" s="18" t="s">
        <v>16</v>
      </c>
      <c r="S29" s="18" t="s">
        <v>16</v>
      </c>
      <c r="T29" s="18" t="s">
        <v>16</v>
      </c>
      <c r="U29" s="18" t="s">
        <v>16</v>
      </c>
      <c r="V29" s="18" t="s">
        <v>16</v>
      </c>
      <c r="W29" s="18" t="s">
        <v>16</v>
      </c>
      <c r="X29" s="18" t="s">
        <v>16</v>
      </c>
      <c r="Y29" s="18" t="s">
        <v>16</v>
      </c>
      <c r="Z29" s="19" t="e">
        <f t="shared" si="0"/>
        <v>#DIV/0!</v>
      </c>
      <c r="AA29" s="20">
        <v>24</v>
      </c>
      <c r="AB29" s="21">
        <f t="shared" si="1"/>
        <v>0</v>
      </c>
      <c r="AC29" s="21">
        <f>MIN(B29:Y29)</f>
        <v>0</v>
      </c>
    </row>
    <row r="30" spans="1:29" ht="14.25" customHeight="1" x14ac:dyDescent="0.25">
      <c r="A30" s="16">
        <v>25</v>
      </c>
      <c r="B30" s="18">
        <f>HLOOKUP(B5,[1]May.25!B19:Y30,2,0)</f>
        <v>20.85</v>
      </c>
      <c r="C30" s="18">
        <f>HLOOKUP(C5,[1]May.25!C19:Z30,2,0)</f>
        <v>20.85</v>
      </c>
      <c r="D30" s="18">
        <f>HLOOKUP(D5,[1]May.25!D19:AA30,2,0)</f>
        <v>20.85</v>
      </c>
      <c r="E30" s="18">
        <f>HLOOKUP(E5,[1]May.25!E19:AB30,2,0)</f>
        <v>20.85</v>
      </c>
      <c r="F30" s="18">
        <f>HLOOKUP(F5,[1]May.25!F19:AC30,2,0)</f>
        <v>20.85</v>
      </c>
      <c r="G30" s="18">
        <f>HLOOKUP(G5,[1]May.25!G19:AD30,2,0)</f>
        <v>20.85</v>
      </c>
      <c r="H30" s="18">
        <f>HLOOKUP(H5,[1]May.25!H19:AE30,2,0)</f>
        <v>20.85</v>
      </c>
      <c r="I30" s="18">
        <f>HLOOKUP(I5,[1]May.25!I19:AF30,2,0)</f>
        <v>20.85</v>
      </c>
      <c r="J30" s="18">
        <f>HLOOKUP(J5,[1]May.25!J19:AG30,2,0)</f>
        <v>20.85</v>
      </c>
      <c r="K30" s="18" t="s">
        <v>16</v>
      </c>
      <c r="L30" s="18" t="s">
        <v>16</v>
      </c>
      <c r="M30" s="18" t="s">
        <v>16</v>
      </c>
      <c r="N30" s="18" t="s">
        <v>16</v>
      </c>
      <c r="O30" s="18" t="s">
        <v>16</v>
      </c>
      <c r="P30" s="18" t="s">
        <v>16</v>
      </c>
      <c r="Q30" s="18" t="s">
        <v>16</v>
      </c>
      <c r="R30" s="18" t="s">
        <v>16</v>
      </c>
      <c r="S30" s="18" t="s">
        <v>16</v>
      </c>
      <c r="T30" s="18" t="s">
        <v>16</v>
      </c>
      <c r="U30" s="18" t="s">
        <v>16</v>
      </c>
      <c r="V30" s="18" t="s">
        <v>16</v>
      </c>
      <c r="W30" s="18" t="s">
        <v>16</v>
      </c>
      <c r="X30" s="18" t="s">
        <v>16</v>
      </c>
      <c r="Y30" s="18" t="s">
        <v>16</v>
      </c>
      <c r="Z30" s="19">
        <f t="shared" si="0"/>
        <v>20.849999999999998</v>
      </c>
      <c r="AA30" s="20">
        <v>25</v>
      </c>
      <c r="AB30" s="21">
        <f t="shared" si="1"/>
        <v>20.85</v>
      </c>
      <c r="AC30" s="21">
        <f t="shared" si="2"/>
        <v>20.85</v>
      </c>
    </row>
    <row r="31" spans="1:29" ht="14.25" customHeight="1" x14ac:dyDescent="0.25">
      <c r="A31" s="16">
        <v>26</v>
      </c>
      <c r="B31" s="18" t="s">
        <v>16</v>
      </c>
      <c r="C31" s="18" t="s">
        <v>16</v>
      </c>
      <c r="D31" s="18" t="s">
        <v>16</v>
      </c>
      <c r="E31" s="18" t="s">
        <v>16</v>
      </c>
      <c r="F31" s="18" t="s">
        <v>16</v>
      </c>
      <c r="G31" s="18" t="s">
        <v>16</v>
      </c>
      <c r="H31" s="18" t="s">
        <v>16</v>
      </c>
      <c r="I31" s="18" t="s">
        <v>16</v>
      </c>
      <c r="J31" s="18" t="s">
        <v>16</v>
      </c>
      <c r="K31" s="18" t="s">
        <v>16</v>
      </c>
      <c r="L31" s="18" t="s">
        <v>16</v>
      </c>
      <c r="M31" s="18" t="s">
        <v>16</v>
      </c>
      <c r="N31" s="18" t="s">
        <v>16</v>
      </c>
      <c r="O31" s="18" t="s">
        <v>16</v>
      </c>
      <c r="P31" s="18" t="s">
        <v>16</v>
      </c>
      <c r="Q31" s="18" t="s">
        <v>16</v>
      </c>
      <c r="R31" s="18" t="s">
        <v>16</v>
      </c>
      <c r="S31" s="18" t="s">
        <v>16</v>
      </c>
      <c r="T31" s="18" t="s">
        <v>16</v>
      </c>
      <c r="U31" s="18" t="s">
        <v>16</v>
      </c>
      <c r="V31" s="18" t="s">
        <v>16</v>
      </c>
      <c r="W31" s="18" t="s">
        <v>16</v>
      </c>
      <c r="X31" s="18" t="s">
        <v>16</v>
      </c>
      <c r="Y31" s="18" t="s">
        <v>16</v>
      </c>
      <c r="Z31" s="19" t="e">
        <f t="shared" si="0"/>
        <v>#DIV/0!</v>
      </c>
      <c r="AA31" s="20">
        <v>26</v>
      </c>
      <c r="AB31" s="21">
        <f t="shared" si="1"/>
        <v>0</v>
      </c>
      <c r="AC31" s="21">
        <f>MIN(B31:Y31)</f>
        <v>0</v>
      </c>
    </row>
    <row r="32" spans="1:29" ht="14.25" customHeight="1" x14ac:dyDescent="0.25">
      <c r="A32" s="16">
        <v>27</v>
      </c>
      <c r="B32" s="18">
        <f>HLOOKUP(B5,[1]May.27!B19:Y30,2,0)</f>
        <v>20.85</v>
      </c>
      <c r="C32" s="18">
        <f>HLOOKUP(C5,[1]May.27!C19:Z30,2,0)</f>
        <v>20.85</v>
      </c>
      <c r="D32" s="18">
        <f>HLOOKUP(D5,[1]May.27!D19:AA30,2,0)</f>
        <v>20.85</v>
      </c>
      <c r="E32" s="18">
        <f>HLOOKUP(E5,[1]May.27!E19:AB30,2,0)</f>
        <v>20.85</v>
      </c>
      <c r="F32" s="18">
        <f>HLOOKUP(F5,[1]May.27!F19:AC30,2,0)</f>
        <v>20.85</v>
      </c>
      <c r="G32" s="18">
        <f>HLOOKUP(G5,[1]May.27!G19:AD30,2,0)</f>
        <v>20.85</v>
      </c>
      <c r="H32" s="18">
        <f>HLOOKUP(H5,[1]May.27!H19:AE30,2,0)</f>
        <v>20.85</v>
      </c>
      <c r="I32" s="18">
        <f>HLOOKUP(I5,[1]May.27!I19:AF30,2,0)</f>
        <v>20.85</v>
      </c>
      <c r="J32" s="18">
        <f>HLOOKUP(J5,[1]May.27!J19:AG30,2,0)</f>
        <v>20.85</v>
      </c>
      <c r="K32" s="18" t="s">
        <v>16</v>
      </c>
      <c r="L32" s="18" t="s">
        <v>16</v>
      </c>
      <c r="M32" s="18" t="s">
        <v>16</v>
      </c>
      <c r="N32" s="18" t="s">
        <v>16</v>
      </c>
      <c r="O32" s="18" t="s">
        <v>16</v>
      </c>
      <c r="P32" s="18" t="s">
        <v>16</v>
      </c>
      <c r="Q32" s="18" t="s">
        <v>16</v>
      </c>
      <c r="R32" s="18" t="s">
        <v>16</v>
      </c>
      <c r="S32" s="18" t="s">
        <v>16</v>
      </c>
      <c r="T32" s="18" t="s">
        <v>16</v>
      </c>
      <c r="U32" s="18" t="s">
        <v>16</v>
      </c>
      <c r="V32" s="18" t="s">
        <v>16</v>
      </c>
      <c r="W32" s="18" t="s">
        <v>16</v>
      </c>
      <c r="X32" s="18" t="s">
        <v>16</v>
      </c>
      <c r="Y32" s="18" t="s">
        <v>16</v>
      </c>
      <c r="Z32" s="19">
        <f t="shared" si="0"/>
        <v>20.849999999999998</v>
      </c>
      <c r="AA32" s="20">
        <v>27</v>
      </c>
      <c r="AB32" s="21">
        <f t="shared" si="1"/>
        <v>20.85</v>
      </c>
      <c r="AC32" s="21">
        <f t="shared" si="2"/>
        <v>20.85</v>
      </c>
    </row>
    <row r="33" spans="1:29" ht="14.25" customHeight="1" x14ac:dyDescent="0.25">
      <c r="A33" s="16">
        <v>28</v>
      </c>
      <c r="B33" s="18" t="s">
        <v>16</v>
      </c>
      <c r="C33" s="18" t="s">
        <v>16</v>
      </c>
      <c r="D33" s="18" t="s">
        <v>16</v>
      </c>
      <c r="E33" s="18" t="s">
        <v>16</v>
      </c>
      <c r="F33" s="18">
        <f>HLOOKUP(F5,[1]May.28!F19:AC30,2,0)</f>
        <v>20.85</v>
      </c>
      <c r="G33" s="18">
        <f>HLOOKUP(G5,[1]May.28!G19:AD30,2,0)</f>
        <v>20.85</v>
      </c>
      <c r="H33" s="18">
        <f>HLOOKUP(H5,[1]May.28!H19:AE30,2,0)</f>
        <v>20.85</v>
      </c>
      <c r="I33" s="18">
        <f>HLOOKUP(I5,[1]May.28!I19:AF30,2,0)</f>
        <v>20.85</v>
      </c>
      <c r="J33" s="18" t="s">
        <v>16</v>
      </c>
      <c r="K33" s="18" t="s">
        <v>16</v>
      </c>
      <c r="L33" s="18" t="s">
        <v>16</v>
      </c>
      <c r="M33" s="18" t="s">
        <v>16</v>
      </c>
      <c r="N33" s="18" t="s">
        <v>16</v>
      </c>
      <c r="O33" s="18" t="s">
        <v>16</v>
      </c>
      <c r="P33" s="18" t="s">
        <v>16</v>
      </c>
      <c r="Q33" s="18" t="s">
        <v>16</v>
      </c>
      <c r="R33" s="18" t="s">
        <v>16</v>
      </c>
      <c r="S33" s="18" t="s">
        <v>16</v>
      </c>
      <c r="T33" s="18" t="s">
        <v>16</v>
      </c>
      <c r="U33" s="18" t="s">
        <v>16</v>
      </c>
      <c r="V33" s="18" t="s">
        <v>16</v>
      </c>
      <c r="W33" s="18" t="s">
        <v>16</v>
      </c>
      <c r="X33" s="18" t="s">
        <v>16</v>
      </c>
      <c r="Y33" s="18" t="s">
        <v>16</v>
      </c>
      <c r="Z33" s="19">
        <f t="shared" si="0"/>
        <v>20.85</v>
      </c>
      <c r="AA33" s="20">
        <v>28</v>
      </c>
      <c r="AB33" s="21">
        <f t="shared" si="1"/>
        <v>20.85</v>
      </c>
      <c r="AC33" s="21">
        <f t="shared" si="2"/>
        <v>20.85</v>
      </c>
    </row>
    <row r="34" spans="1:29" ht="14.25" customHeight="1" x14ac:dyDescent="0.25">
      <c r="A34" s="16">
        <v>29</v>
      </c>
      <c r="B34" s="18">
        <f>HLOOKUP(B5,[1]May.29!B19:Y30,2,0)</f>
        <v>20.85</v>
      </c>
      <c r="C34" s="18">
        <f>HLOOKUP(C5,[1]May.29!C19:Z30,2,0)</f>
        <v>20.85</v>
      </c>
      <c r="D34" s="18" t="s">
        <v>16</v>
      </c>
      <c r="E34" s="18">
        <f>HLOOKUP(E5,[1]May.29!E19:AB30,2,0)</f>
        <v>20.85</v>
      </c>
      <c r="F34" s="18" t="s">
        <v>16</v>
      </c>
      <c r="G34" s="18" t="s">
        <v>16</v>
      </c>
      <c r="H34" s="18" t="s">
        <v>16</v>
      </c>
      <c r="I34" s="18" t="s">
        <v>16</v>
      </c>
      <c r="J34" s="18" t="s">
        <v>16</v>
      </c>
      <c r="K34" s="18" t="s">
        <v>16</v>
      </c>
      <c r="L34" s="18" t="s">
        <v>16</v>
      </c>
      <c r="M34" s="18" t="s">
        <v>16</v>
      </c>
      <c r="N34" s="18" t="s">
        <v>16</v>
      </c>
      <c r="O34" s="18" t="s">
        <v>16</v>
      </c>
      <c r="P34" s="18" t="s">
        <v>16</v>
      </c>
      <c r="Q34" s="18" t="s">
        <v>16</v>
      </c>
      <c r="R34" s="18" t="s">
        <v>16</v>
      </c>
      <c r="S34" s="18" t="s">
        <v>16</v>
      </c>
      <c r="T34" s="18" t="s">
        <v>16</v>
      </c>
      <c r="U34" s="18" t="s">
        <v>16</v>
      </c>
      <c r="V34" s="18" t="s">
        <v>16</v>
      </c>
      <c r="W34" s="18" t="s">
        <v>16</v>
      </c>
      <c r="X34" s="18" t="s">
        <v>16</v>
      </c>
      <c r="Y34" s="18" t="s">
        <v>16</v>
      </c>
      <c r="Z34" s="19">
        <f t="shared" si="0"/>
        <v>20.85</v>
      </c>
      <c r="AA34" s="20">
        <v>29</v>
      </c>
      <c r="AB34" s="21">
        <f t="shared" si="1"/>
        <v>20.85</v>
      </c>
      <c r="AC34" s="21">
        <f t="shared" si="2"/>
        <v>20.85</v>
      </c>
    </row>
    <row r="35" spans="1:29" ht="14.25" customHeight="1" x14ac:dyDescent="0.25">
      <c r="A35" s="16">
        <v>30</v>
      </c>
      <c r="B35" s="18">
        <f>HLOOKUP(B5,[1]May.30!B19:Y30,2,0)</f>
        <v>20.85</v>
      </c>
      <c r="C35" s="18">
        <f>HLOOKUP(C5,[1]May.30!C19:Z30,2,0)</f>
        <v>20.85</v>
      </c>
      <c r="D35" s="18" t="s">
        <v>16</v>
      </c>
      <c r="E35" s="18">
        <f>HLOOKUP(E5,[1]May.30!E19:AB30,2,0)</f>
        <v>20.85</v>
      </c>
      <c r="F35" s="18" t="s">
        <v>16</v>
      </c>
      <c r="G35" s="18">
        <f>HLOOKUP(G5,[1]May.30!G19:AD30,2,0)</f>
        <v>20.858000000000001</v>
      </c>
      <c r="H35" s="18">
        <f>HLOOKUP(H5,[1]May.30!H19:AE30,2,0)</f>
        <v>20.85</v>
      </c>
      <c r="I35" s="18">
        <f>HLOOKUP(I5,[1]May.30!I19:AF30,2,0)</f>
        <v>20.85</v>
      </c>
      <c r="J35" s="18">
        <f>HLOOKUP(J5,[1]May.30!J19:AG30,2,0)</f>
        <v>20.85</v>
      </c>
      <c r="K35" s="18">
        <f>HLOOKUP(K5,[1]May.30!K19:AH30,2,0)</f>
        <v>20.85</v>
      </c>
      <c r="L35" s="18">
        <f>HLOOKUP(L5,[1]May.30!L19:AI30,2,0)</f>
        <v>20.86</v>
      </c>
      <c r="M35" s="18">
        <f>HLOOKUP(M5,[1]May.30!M19:AJ30,2,0)</f>
        <v>20.85</v>
      </c>
      <c r="N35" s="18">
        <f>HLOOKUP(N5,[1]May.30!N19:AK30,2,0)</f>
        <v>20.85</v>
      </c>
      <c r="O35" s="18">
        <f>HLOOKUP(O5,[1]May.30!O19:AL30,2,0)</f>
        <v>20.85</v>
      </c>
      <c r="P35" s="18">
        <f>HLOOKUP(P5,[1]May.30!P19:AM30,2,0)</f>
        <v>20.85</v>
      </c>
      <c r="Q35" s="18">
        <f>HLOOKUP(Q5,[1]May.30!Q19:AN30,2,0)</f>
        <v>20.85</v>
      </c>
      <c r="R35" s="18">
        <f>HLOOKUP(R5,[1]May.30!R19:AO30,2,0)</f>
        <v>20.85</v>
      </c>
      <c r="S35" s="18" t="s">
        <v>16</v>
      </c>
      <c r="T35" s="18" t="s">
        <v>16</v>
      </c>
      <c r="U35" s="18" t="s">
        <v>16</v>
      </c>
      <c r="V35" s="18" t="s">
        <v>16</v>
      </c>
      <c r="W35" s="18" t="s">
        <v>16</v>
      </c>
      <c r="X35" s="18" t="s">
        <v>16</v>
      </c>
      <c r="Y35" s="18" t="s">
        <v>16</v>
      </c>
      <c r="Z35" s="19">
        <f t="shared" si="0"/>
        <v>20.851200000000002</v>
      </c>
      <c r="AA35" s="20">
        <v>30</v>
      </c>
      <c r="AB35" s="21">
        <f t="shared" si="1"/>
        <v>20.86</v>
      </c>
      <c r="AC35" s="21">
        <f>MIN(B35:Y35)</f>
        <v>20.85</v>
      </c>
    </row>
    <row r="36" spans="1:29" ht="14.25" customHeight="1" x14ac:dyDescent="0.25">
      <c r="A36" s="16">
        <v>31</v>
      </c>
      <c r="B36" s="18">
        <f>HLOOKUP(B5,[1]May.31!B19:Y30,2,0)</f>
        <v>20.85</v>
      </c>
      <c r="C36" s="18">
        <f>HLOOKUP(C5,[1]May.31!C19:Z30,2,0)</f>
        <v>20.85</v>
      </c>
      <c r="D36" s="18">
        <f>HLOOKUP(D5,[1]May.31!D19:AA30,2,0)</f>
        <v>20.85</v>
      </c>
      <c r="E36" s="18">
        <f>HLOOKUP(E5,[1]May.31!E19:AB30,2,0)</f>
        <v>20.85</v>
      </c>
      <c r="F36" s="18">
        <f>HLOOKUP(F5,[1]May.31!F19:AC30,2,0)</f>
        <v>20.85</v>
      </c>
      <c r="G36" s="18">
        <f>HLOOKUP(G5,[1]May.31!G19:AD30,2,0)</f>
        <v>20.85</v>
      </c>
      <c r="H36" s="18">
        <f>HLOOKUP(H5,[1]May.31!H19:AE30,2,0)</f>
        <v>20.85</v>
      </c>
      <c r="I36" s="18">
        <f>HLOOKUP(I5,[1]May.31!I19:AF30,2,0)</f>
        <v>20.85</v>
      </c>
      <c r="J36" s="18">
        <f>HLOOKUP(J5,[1]May.31!J19:AG30,2,0)</f>
        <v>20.85</v>
      </c>
      <c r="K36" s="18" t="s">
        <v>16</v>
      </c>
      <c r="L36" s="18" t="s">
        <v>16</v>
      </c>
      <c r="M36" s="18" t="s">
        <v>16</v>
      </c>
      <c r="N36" s="18" t="s">
        <v>16</v>
      </c>
      <c r="O36" s="18" t="s">
        <v>16</v>
      </c>
      <c r="P36" s="18" t="s">
        <v>16</v>
      </c>
      <c r="Q36" s="18" t="s">
        <v>16</v>
      </c>
      <c r="R36" s="18" t="s">
        <v>16</v>
      </c>
      <c r="S36" s="18" t="s">
        <v>16</v>
      </c>
      <c r="T36" s="18" t="s">
        <v>16</v>
      </c>
      <c r="U36" s="18" t="s">
        <v>16</v>
      </c>
      <c r="V36" s="18" t="s">
        <v>16</v>
      </c>
      <c r="W36" s="18" t="s">
        <v>16</v>
      </c>
      <c r="X36" s="18" t="s">
        <v>16</v>
      </c>
      <c r="Y36" s="18" t="s">
        <v>16</v>
      </c>
      <c r="Z36" s="19">
        <f t="shared" si="0"/>
        <v>20.849999999999998</v>
      </c>
      <c r="AA36" s="20">
        <v>31</v>
      </c>
      <c r="AB36" s="21">
        <f t="shared" si="1"/>
        <v>20.85</v>
      </c>
      <c r="AC36" s="21">
        <f t="shared" si="2"/>
        <v>20.85</v>
      </c>
    </row>
    <row r="37" spans="1:29" ht="14.25" customHeight="1" x14ac:dyDescent="0.2">
      <c r="A37" s="16" t="s">
        <v>9</v>
      </c>
      <c r="B37" s="18"/>
      <c r="C37" s="18"/>
      <c r="D37" s="18"/>
      <c r="E37" s="18"/>
      <c r="F37" s="18"/>
      <c r="G37" s="18"/>
      <c r="H37" s="18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19" t="e">
        <f>AVERAGE(Z6:Z36)</f>
        <v>#DIV/0!</v>
      </c>
      <c r="AA37" s="10"/>
      <c r="AB37" s="10"/>
      <c r="AC37" s="10"/>
    </row>
    <row r="38" spans="1:29" ht="14.25" customHeight="1" x14ac:dyDescent="0.2">
      <c r="A38" s="16" t="s">
        <v>13</v>
      </c>
      <c r="B38" s="25"/>
      <c r="C38" s="25"/>
      <c r="D38" s="25"/>
      <c r="E38" s="26">
        <f>AVERAGE(E6:E36)</f>
        <v>20.821428571428573</v>
      </c>
      <c r="F38" s="25"/>
      <c r="G38" s="25"/>
      <c r="H38" s="25"/>
      <c r="I38" s="27"/>
      <c r="J38" s="27">
        <f>AVERAGE(J6:J36)</f>
        <v>20.848000000000003</v>
      </c>
      <c r="K38" s="27"/>
      <c r="L38" s="27"/>
      <c r="M38" s="27"/>
      <c r="N38" s="27"/>
      <c r="O38" s="27"/>
      <c r="P38" s="27"/>
      <c r="Q38" s="27"/>
      <c r="R38" s="27"/>
      <c r="S38" s="25"/>
      <c r="T38" s="25"/>
      <c r="U38" s="25"/>
      <c r="V38" s="25"/>
      <c r="W38" s="25"/>
      <c r="X38" s="25"/>
      <c r="Y38" s="26">
        <f>AVERAGE(Y6:Y36)</f>
        <v>20.991999999999997</v>
      </c>
      <c r="Z38" s="19">
        <f>AVERAGE(E38,J38,Y38)</f>
        <v>20.887142857142859</v>
      </c>
      <c r="AA38" s="28" t="s">
        <v>14</v>
      </c>
      <c r="AB38" s="29">
        <f>AVERAGE(AB6:AB36)</f>
        <v>12.850645161290325</v>
      </c>
      <c r="AC38" s="29">
        <f>AVERAGE(AC6:AC36)</f>
        <v>12.763225806451615</v>
      </c>
    </row>
    <row r="39" spans="1:29" x14ac:dyDescent="0.2">
      <c r="B39" s="30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I.T PC 2nd Floor</dc:creator>
  <cp:lastModifiedBy>Admin</cp:lastModifiedBy>
  <dcterms:created xsi:type="dcterms:W3CDTF">2023-03-07T03:07:42Z</dcterms:created>
  <dcterms:modified xsi:type="dcterms:W3CDTF">2024-11-28T02:50:56Z</dcterms:modified>
</cp:coreProperties>
</file>