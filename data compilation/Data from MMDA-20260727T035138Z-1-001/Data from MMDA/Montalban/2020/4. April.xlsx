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0\Waterlevel\Montalban 2020\"/>
    </mc:Choice>
  </mc:AlternateContent>
  <xr:revisionPtr revIDLastSave="0" documentId="13_ncr:1_{D9BB32CB-E431-4BAA-88A7-84AE54D84C6D}" xr6:coauthVersionLast="47" xr6:coauthVersionMax="47" xr10:uidLastSave="{00000000-0000-0000-0000-000000000000}"/>
  <bookViews>
    <workbookView xWindow="-120" yWindow="-120" windowWidth="29040" windowHeight="15720" xr2:uid="{1F27CCE5-7A19-4601-A7F0-91FFFCE8858A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6" i="1" l="1"/>
  <c r="AB34" i="1"/>
  <c r="AB30" i="1"/>
  <c r="I13" i="1"/>
  <c r="H13" i="1"/>
  <c r="G13" i="1"/>
  <c r="F13" i="1"/>
  <c r="E13" i="1"/>
  <c r="D13" i="1"/>
  <c r="C13" i="1"/>
  <c r="B13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Y38" i="1"/>
  <c r="J38" i="1"/>
  <c r="E38" i="1" l="1"/>
  <c r="Z38" i="1" s="1"/>
  <c r="AC31" i="1"/>
  <c r="AC6" i="1"/>
  <c r="Z7" i="1"/>
  <c r="AB8" i="1"/>
  <c r="AC9" i="1"/>
  <c r="AC10" i="1"/>
  <c r="Z11" i="1"/>
  <c r="AB12" i="1"/>
  <c r="AC13" i="1"/>
  <c r="AC14" i="1"/>
  <c r="Z15" i="1"/>
  <c r="AB16" i="1"/>
  <c r="AC17" i="1"/>
  <c r="AC18" i="1"/>
  <c r="Z19" i="1"/>
  <c r="AB20" i="1"/>
  <c r="AC21" i="1"/>
  <c r="AC22" i="1"/>
  <c r="Z23" i="1"/>
  <c r="AB24" i="1"/>
  <c r="AC25" i="1"/>
  <c r="AC26" i="1"/>
  <c r="Z27" i="1"/>
  <c r="AB28" i="1"/>
  <c r="AC29" i="1"/>
  <c r="AC30" i="1"/>
  <c r="Z31" i="1"/>
  <c r="AB32" i="1"/>
  <c r="AC33" i="1"/>
  <c r="AC34" i="1"/>
  <c r="Z35" i="1"/>
  <c r="AB36" i="1"/>
  <c r="Z6" i="1"/>
  <c r="AB7" i="1"/>
  <c r="AC8" i="1"/>
  <c r="Z10" i="1"/>
  <c r="AB11" i="1"/>
  <c r="AC12" i="1"/>
  <c r="Z14" i="1"/>
  <c r="AB15" i="1"/>
  <c r="AC16" i="1"/>
  <c r="Z18" i="1"/>
  <c r="AB19" i="1"/>
  <c r="AC20" i="1"/>
  <c r="Z22" i="1"/>
  <c r="AB23" i="1"/>
  <c r="AC24" i="1"/>
  <c r="Z26" i="1"/>
  <c r="AB27" i="1"/>
  <c r="AC28" i="1"/>
  <c r="Z30" i="1"/>
  <c r="AB31" i="1"/>
  <c r="AC32" i="1"/>
  <c r="Z34" i="1"/>
  <c r="AB35" i="1"/>
  <c r="AC36" i="1"/>
  <c r="AB6" i="1"/>
  <c r="AC7" i="1"/>
  <c r="Z9" i="1"/>
  <c r="AB10" i="1"/>
  <c r="AC11" i="1"/>
  <c r="Z13" i="1"/>
  <c r="AB14" i="1"/>
  <c r="AC15" i="1"/>
  <c r="Z17" i="1"/>
  <c r="AB18" i="1"/>
  <c r="AC19" i="1"/>
  <c r="Z21" i="1"/>
  <c r="AB22" i="1"/>
  <c r="AC23" i="1"/>
  <c r="Z25" i="1"/>
  <c r="AB26" i="1"/>
  <c r="AC27" i="1"/>
  <c r="Z29" i="1"/>
  <c r="Z33" i="1"/>
  <c r="AC35" i="1"/>
  <c r="Z8" i="1"/>
  <c r="AB9" i="1"/>
  <c r="Z12" i="1"/>
  <c r="AB13" i="1"/>
  <c r="Z16" i="1"/>
  <c r="AB17" i="1"/>
  <c r="Z20" i="1"/>
  <c r="AB21" i="1"/>
  <c r="Z24" i="1"/>
  <c r="AB25" i="1"/>
  <c r="Z28" i="1"/>
  <c r="AB29" i="1"/>
  <c r="Z32" i="1"/>
  <c r="AB33" i="1"/>
  <c r="AC38" i="1" l="1"/>
  <c r="AB38" i="1"/>
  <c r="Z37" i="1"/>
</calcChain>
</file>

<file path=xl/sharedStrings.xml><?xml version="1.0" encoding="utf-8"?>
<sst xmlns="http://schemas.openxmlformats.org/spreadsheetml/2006/main" count="737" uniqueCount="17">
  <si>
    <t>FORM 2-1  HOURLY  WATERLEVEL CHART</t>
  </si>
  <si>
    <t>RECORDED DAILY HIGHEST AND LOWEST WATER ELEVATION</t>
  </si>
  <si>
    <t>APRIL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</si>
  <si>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</si>
  <si>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</si>
  <si>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</si>
  <si>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</si>
  <si>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</si>
  <si>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APRIL 1-31, 2020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</si>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</sst>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8F0FD92A-CE0E-4954-9F45-48059CC6D5B3}"/>
    <cellStyle name="Normal" xfId="0" builtinId="0"/>
    <cellStyle name="Normal 2" xfId="1" xr:uid="{68F50397-FC06-420C-A059-821A94C98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0</c:v>
                </c:pt>
                <c:pt idx="1">
                  <c:v>20.8</c:v>
                </c:pt>
                <c:pt idx="2">
                  <c:v>20.8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20.8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7-4864-9D02-58F103154C19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0</c:v>
                </c:pt>
                <c:pt idx="1">
                  <c:v>20.8</c:v>
                </c:pt>
                <c:pt idx="2">
                  <c:v>20.8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20.79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77-4864-9D02-58F103154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8932912"/>
        <c:axId val="350936096"/>
      </c:barChart>
      <c:catAx>
        <c:axId val="29893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936096"/>
        <c:crosses val="autoZero"/>
        <c:auto val="1"/>
        <c:lblAlgn val="ctr"/>
        <c:lblOffset val="100"/>
        <c:noMultiLvlLbl val="0"/>
      </c:catAx>
      <c:valAx>
        <c:axId val="35093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932912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71B3D247-073B-4892-ABDB-EE42B834BDD7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6C710A0-27DD-4398-9800-9C8C0200CC52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668A8B36-048B-4907-86E9-7DD170C6AD4D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D10A3F-8F43-465B-BA5B-200F77A85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AD1CB61-A4AF-48D5-A842-DF3CD3738FFB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D565329-5DF1-4AA7-ABC0-745075E8F5AB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1.%20Rainfall%20and%20Waterlevel%20Data%20Sheet/Sorted%20Hydrological%20Data%20of%20Stations%20as%20of%20JAN%202023/2020/4.APRIL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.1"/>
      <sheetName val="APR.2"/>
      <sheetName val="APR.3"/>
      <sheetName val="APR.4"/>
      <sheetName val="APR.5"/>
      <sheetName val="APR.6"/>
      <sheetName val="APR.7"/>
      <sheetName val="APR.8"/>
      <sheetName val="APR.9"/>
      <sheetName val="APR.10"/>
      <sheetName val="APR.11"/>
      <sheetName val="APR.12"/>
      <sheetName val="APR.13"/>
      <sheetName val="APR.14"/>
      <sheetName val="APR.15"/>
      <sheetName val="APR.16"/>
      <sheetName val="APR.17"/>
      <sheetName val="APR.18"/>
      <sheetName val="APR.19"/>
      <sheetName val="APR.20"/>
      <sheetName val="APR.21"/>
      <sheetName val="APR.22"/>
      <sheetName val="APR.23"/>
      <sheetName val="APR.24"/>
      <sheetName val="APR.25"/>
      <sheetName val="APR.26"/>
      <sheetName val="APR.27"/>
      <sheetName val="APR.28"/>
      <sheetName val="APR.29"/>
      <sheetName val="APR.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AD21">
            <v>15.8</v>
          </cell>
          <cell r="AE21">
            <v>15.8</v>
          </cell>
        </row>
        <row r="22">
          <cell r="B22">
            <v>12.01</v>
          </cell>
          <cell r="C22">
            <v>12.01</v>
          </cell>
          <cell r="D22">
            <v>12.01</v>
          </cell>
          <cell r="E22">
            <v>12.01</v>
          </cell>
          <cell r="F22">
            <v>12.01</v>
          </cell>
          <cell r="G22">
            <v>12.01</v>
          </cell>
          <cell r="H22">
            <v>12.01</v>
          </cell>
          <cell r="I22">
            <v>12.01</v>
          </cell>
          <cell r="J22">
            <v>12.01</v>
          </cell>
          <cell r="AD22">
            <v>12.01</v>
          </cell>
          <cell r="AE22">
            <v>12.01</v>
          </cell>
        </row>
        <row r="23">
          <cell r="B23">
            <v>10.35</v>
          </cell>
          <cell r="C23">
            <v>10.34</v>
          </cell>
          <cell r="D23">
            <v>10.36</v>
          </cell>
          <cell r="E23">
            <v>10.37</v>
          </cell>
          <cell r="F23">
            <v>10.4</v>
          </cell>
          <cell r="G23">
            <v>10.45</v>
          </cell>
          <cell r="H23">
            <v>10.46</v>
          </cell>
          <cell r="I23">
            <v>10.47</v>
          </cell>
          <cell r="J23">
            <v>10.48</v>
          </cell>
          <cell r="AD23">
            <v>10.48</v>
          </cell>
          <cell r="AE23">
            <v>10.34</v>
          </cell>
        </row>
        <row r="24">
          <cell r="B24">
            <v>10.44</v>
          </cell>
          <cell r="C24">
            <v>10.45</v>
          </cell>
          <cell r="D24">
            <v>10.46</v>
          </cell>
          <cell r="E24">
            <v>10.46</v>
          </cell>
          <cell r="F24">
            <v>10.46</v>
          </cell>
          <cell r="G24">
            <v>10.45</v>
          </cell>
          <cell r="H24">
            <v>10.45</v>
          </cell>
          <cell r="I24">
            <v>10.45</v>
          </cell>
          <cell r="J24">
            <v>10.46</v>
          </cell>
          <cell r="AD24">
            <v>10.46</v>
          </cell>
          <cell r="AE24">
            <v>10.44</v>
          </cell>
        </row>
        <row r="25">
          <cell r="B25">
            <v>10.58</v>
          </cell>
          <cell r="C25">
            <v>10.63</v>
          </cell>
          <cell r="D25">
            <v>10.66</v>
          </cell>
          <cell r="E25">
            <v>10.72</v>
          </cell>
          <cell r="F25">
            <v>10.78</v>
          </cell>
          <cell r="G25">
            <v>10.81</v>
          </cell>
          <cell r="H25">
            <v>10.83</v>
          </cell>
          <cell r="I25">
            <v>10.84</v>
          </cell>
          <cell r="J25">
            <v>10.84</v>
          </cell>
          <cell r="AD25">
            <v>10.84</v>
          </cell>
          <cell r="AE25">
            <v>10.58</v>
          </cell>
        </row>
        <row r="26">
          <cell r="AD26">
            <v>0</v>
          </cell>
          <cell r="AE26">
            <v>0</v>
          </cell>
        </row>
        <row r="27">
          <cell r="B27">
            <v>10.72</v>
          </cell>
          <cell r="C27" t="str">
            <v>**.**</v>
          </cell>
          <cell r="D27">
            <v>10.88</v>
          </cell>
          <cell r="E27">
            <v>10.94</v>
          </cell>
          <cell r="F27">
            <v>11.02</v>
          </cell>
          <cell r="G27">
            <v>11.08</v>
          </cell>
          <cell r="H27" t="str">
            <v>**.**</v>
          </cell>
          <cell r="I27" t="str">
            <v>**.**</v>
          </cell>
          <cell r="J27">
            <v>11.14</v>
          </cell>
          <cell r="AD27">
            <v>11.14</v>
          </cell>
          <cell r="AE27">
            <v>10.72</v>
          </cell>
        </row>
        <row r="28">
          <cell r="B28">
            <v>10.79</v>
          </cell>
          <cell r="C28">
            <v>10.88</v>
          </cell>
          <cell r="D28">
            <v>10.95</v>
          </cell>
          <cell r="E28">
            <v>11.03</v>
          </cell>
          <cell r="F28">
            <v>11.09</v>
          </cell>
          <cell r="G28">
            <v>11.15</v>
          </cell>
          <cell r="H28">
            <v>11.19</v>
          </cell>
          <cell r="I28">
            <v>11.21</v>
          </cell>
          <cell r="J28">
            <v>11.2</v>
          </cell>
          <cell r="AD28">
            <v>11.21</v>
          </cell>
          <cell r="AE28">
            <v>10.79</v>
          </cell>
        </row>
        <row r="29">
          <cell r="AD29">
            <v>0</v>
          </cell>
          <cell r="AE29">
            <v>0</v>
          </cell>
        </row>
        <row r="30">
          <cell r="B30">
            <v>10.72</v>
          </cell>
          <cell r="C30">
            <v>10.72</v>
          </cell>
          <cell r="D30">
            <v>10.72</v>
          </cell>
          <cell r="E30">
            <v>10.72</v>
          </cell>
          <cell r="F30">
            <v>10.72</v>
          </cell>
          <cell r="G30">
            <v>10.72</v>
          </cell>
          <cell r="H30">
            <v>10.72</v>
          </cell>
          <cell r="I30">
            <v>10.72</v>
          </cell>
          <cell r="J30">
            <v>10.72</v>
          </cell>
          <cell r="AD30">
            <v>10.72</v>
          </cell>
          <cell r="AE30">
            <v>10.72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AD21">
            <v>15.8</v>
          </cell>
          <cell r="AE21">
            <v>15.8</v>
          </cell>
        </row>
        <row r="22">
          <cell r="B22">
            <v>12.01</v>
          </cell>
          <cell r="C22">
            <v>12.01</v>
          </cell>
          <cell r="D22">
            <v>12.01</v>
          </cell>
          <cell r="E22">
            <v>12.01</v>
          </cell>
          <cell r="F22">
            <v>12.01</v>
          </cell>
          <cell r="G22">
            <v>12.01</v>
          </cell>
          <cell r="H22">
            <v>12.01</v>
          </cell>
          <cell r="I22">
            <v>12.01</v>
          </cell>
          <cell r="AD22">
            <v>12.01</v>
          </cell>
          <cell r="AE22">
            <v>12.01</v>
          </cell>
        </row>
        <row r="23">
          <cell r="B23">
            <v>10.3</v>
          </cell>
          <cell r="C23">
            <v>10.27</v>
          </cell>
          <cell r="D23">
            <v>10.28</v>
          </cell>
          <cell r="E23">
            <v>10.33</v>
          </cell>
          <cell r="F23">
            <v>10.32</v>
          </cell>
          <cell r="G23">
            <v>10.44</v>
          </cell>
          <cell r="H23">
            <v>10.46</v>
          </cell>
          <cell r="I23">
            <v>10.44</v>
          </cell>
          <cell r="AD23">
            <v>10.46</v>
          </cell>
          <cell r="AE23">
            <v>10.27</v>
          </cell>
        </row>
        <row r="24">
          <cell r="B24">
            <v>10.4</v>
          </cell>
          <cell r="C24">
            <v>10.43</v>
          </cell>
          <cell r="D24">
            <v>10.44</v>
          </cell>
          <cell r="E24">
            <v>10.44</v>
          </cell>
          <cell r="F24">
            <v>10.44</v>
          </cell>
          <cell r="G24">
            <v>10.43</v>
          </cell>
          <cell r="H24">
            <v>10.43</v>
          </cell>
          <cell r="I24">
            <v>10.43</v>
          </cell>
          <cell r="AD24">
            <v>10.44</v>
          </cell>
          <cell r="AE24">
            <v>10.4</v>
          </cell>
        </row>
        <row r="25">
          <cell r="B25">
            <v>10.55</v>
          </cell>
          <cell r="C25">
            <v>10.58</v>
          </cell>
          <cell r="D25">
            <v>10.63</v>
          </cell>
          <cell r="E25">
            <v>10.68</v>
          </cell>
          <cell r="F25">
            <v>10.74</v>
          </cell>
          <cell r="G25">
            <v>10.79</v>
          </cell>
          <cell r="H25">
            <v>10.83</v>
          </cell>
          <cell r="I25">
            <v>10.85</v>
          </cell>
          <cell r="AD25">
            <v>10.85</v>
          </cell>
          <cell r="AE25">
            <v>10.55</v>
          </cell>
        </row>
        <row r="26">
          <cell r="AD26">
            <v>0</v>
          </cell>
          <cell r="AE26">
            <v>0</v>
          </cell>
        </row>
        <row r="27">
          <cell r="D27">
            <v>10.8</v>
          </cell>
          <cell r="E27">
            <v>10.88</v>
          </cell>
          <cell r="H27">
            <v>11.1</v>
          </cell>
          <cell r="I27">
            <v>11.16</v>
          </cell>
          <cell r="AD27">
            <v>11.16</v>
          </cell>
          <cell r="AE27">
            <v>10.8</v>
          </cell>
        </row>
        <row r="28">
          <cell r="B28">
            <v>10.75</v>
          </cell>
          <cell r="C28">
            <v>10.8</v>
          </cell>
          <cell r="D28">
            <v>10.87</v>
          </cell>
          <cell r="E28">
            <v>10.96</v>
          </cell>
          <cell r="F28">
            <v>11.05</v>
          </cell>
          <cell r="G28">
            <v>11.12</v>
          </cell>
          <cell r="H28">
            <v>11.18</v>
          </cell>
          <cell r="I28">
            <v>11.23</v>
          </cell>
          <cell r="AD28">
            <v>11.23</v>
          </cell>
          <cell r="AE28">
            <v>10.75</v>
          </cell>
        </row>
        <row r="29">
          <cell r="AD29">
            <v>0</v>
          </cell>
          <cell r="AE29">
            <v>0</v>
          </cell>
        </row>
        <row r="30">
          <cell r="B30">
            <v>10.72</v>
          </cell>
          <cell r="C30">
            <v>10.72</v>
          </cell>
          <cell r="D30">
            <v>10.72</v>
          </cell>
          <cell r="E30">
            <v>10.72</v>
          </cell>
          <cell r="F30">
            <v>10.72</v>
          </cell>
          <cell r="G30">
            <v>10.72</v>
          </cell>
          <cell r="H30">
            <v>10.72</v>
          </cell>
          <cell r="I30">
            <v>10.72</v>
          </cell>
          <cell r="AD30">
            <v>10.72</v>
          </cell>
          <cell r="AE30">
            <v>10.72</v>
          </cell>
        </row>
      </sheetData>
      <sheetData sheetId="3">
        <row r="19">
          <cell r="B19">
            <v>0.375</v>
          </cell>
        </row>
      </sheetData>
      <sheetData sheetId="4">
        <row r="19">
          <cell r="B19">
            <v>0.375</v>
          </cell>
        </row>
      </sheetData>
      <sheetData sheetId="5">
        <row r="19">
          <cell r="B19">
            <v>0.375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20.79</v>
          </cell>
          <cell r="F20">
            <v>20.79</v>
          </cell>
          <cell r="G20">
            <v>20.79</v>
          </cell>
          <cell r="H20">
            <v>20.79</v>
          </cell>
          <cell r="I20">
            <v>20.79</v>
          </cell>
          <cell r="AD20">
            <v>20.8</v>
          </cell>
          <cell r="AE20">
            <v>20.79</v>
          </cell>
        </row>
        <row r="21">
          <cell r="B21">
            <v>15.79</v>
          </cell>
          <cell r="C21">
            <v>15.79</v>
          </cell>
          <cell r="D21">
            <v>15.79</v>
          </cell>
          <cell r="E21">
            <v>15.79</v>
          </cell>
          <cell r="F21">
            <v>15.79</v>
          </cell>
          <cell r="G21">
            <v>15.79</v>
          </cell>
          <cell r="H21">
            <v>15.79</v>
          </cell>
          <cell r="I21">
            <v>15.79</v>
          </cell>
          <cell r="AD21">
            <v>15.79</v>
          </cell>
          <cell r="AE21">
            <v>15.79</v>
          </cell>
        </row>
        <row r="22">
          <cell r="B22">
            <v>12.01</v>
          </cell>
          <cell r="C22">
            <v>12.01</v>
          </cell>
          <cell r="D22">
            <v>12.01</v>
          </cell>
          <cell r="E22">
            <v>12.01</v>
          </cell>
          <cell r="F22">
            <v>12.01</v>
          </cell>
          <cell r="G22">
            <v>12.01</v>
          </cell>
          <cell r="H22">
            <v>12.01</v>
          </cell>
          <cell r="I22">
            <v>12.01</v>
          </cell>
          <cell r="AD22">
            <v>12.01</v>
          </cell>
          <cell r="AE22">
            <v>12.01</v>
          </cell>
        </row>
        <row r="23">
          <cell r="B23">
            <v>10.32</v>
          </cell>
          <cell r="C23">
            <v>10.32</v>
          </cell>
          <cell r="D23">
            <v>10.29</v>
          </cell>
          <cell r="E23">
            <v>10.26</v>
          </cell>
          <cell r="F23">
            <v>10.17</v>
          </cell>
          <cell r="G23">
            <v>10.1</v>
          </cell>
          <cell r="H23">
            <v>10.07</v>
          </cell>
          <cell r="I23">
            <v>10.07</v>
          </cell>
          <cell r="AD23">
            <v>10.32</v>
          </cell>
          <cell r="AE23">
            <v>10.07</v>
          </cell>
        </row>
        <row r="24">
          <cell r="B24">
            <v>10.47</v>
          </cell>
          <cell r="C24">
            <v>10.45</v>
          </cell>
          <cell r="D24">
            <v>10.45</v>
          </cell>
          <cell r="E24">
            <v>10.44</v>
          </cell>
          <cell r="F24">
            <v>10.44</v>
          </cell>
          <cell r="G24">
            <v>10.42</v>
          </cell>
          <cell r="H24">
            <v>10.42</v>
          </cell>
          <cell r="I24">
            <v>10.42</v>
          </cell>
          <cell r="AD24">
            <v>10.47</v>
          </cell>
          <cell r="AE24">
            <v>10.42</v>
          </cell>
        </row>
        <row r="25">
          <cell r="B25">
            <v>10.57</v>
          </cell>
          <cell r="C25">
            <v>10.61</v>
          </cell>
          <cell r="D25">
            <v>10.62</v>
          </cell>
          <cell r="E25">
            <v>10.6</v>
          </cell>
          <cell r="F25">
            <v>10.57</v>
          </cell>
          <cell r="G25">
            <v>10.51</v>
          </cell>
          <cell r="H25">
            <v>10.49</v>
          </cell>
          <cell r="I25">
            <v>10.49</v>
          </cell>
          <cell r="AD25">
            <v>10.62</v>
          </cell>
          <cell r="AE25">
            <v>10.49</v>
          </cell>
        </row>
        <row r="26">
          <cell r="AD26">
            <v>0</v>
          </cell>
          <cell r="AE26">
            <v>0</v>
          </cell>
        </row>
        <row r="27">
          <cell r="B27">
            <v>10.72</v>
          </cell>
          <cell r="C27" t="str">
            <v>**.**</v>
          </cell>
          <cell r="D27">
            <v>10.8</v>
          </cell>
          <cell r="E27">
            <v>10.76</v>
          </cell>
          <cell r="F27" t="str">
            <v>**.**</v>
          </cell>
          <cell r="G27" t="str">
            <v>**.**</v>
          </cell>
          <cell r="H27">
            <v>10.56</v>
          </cell>
          <cell r="I27">
            <v>10.58</v>
          </cell>
          <cell r="AD27">
            <v>10.8</v>
          </cell>
          <cell r="AE27">
            <v>10.56</v>
          </cell>
        </row>
        <row r="28">
          <cell r="B28">
            <v>10.78</v>
          </cell>
          <cell r="C28">
            <v>10.85</v>
          </cell>
          <cell r="D28">
            <v>10.86</v>
          </cell>
          <cell r="E28" t="str">
            <v>**.**</v>
          </cell>
          <cell r="F28">
            <v>10.73</v>
          </cell>
          <cell r="G28">
            <v>10.7</v>
          </cell>
          <cell r="H28">
            <v>10.7</v>
          </cell>
          <cell r="I28">
            <v>10.6</v>
          </cell>
          <cell r="AD28">
            <v>10.86</v>
          </cell>
          <cell r="AE28">
            <v>10.6</v>
          </cell>
        </row>
        <row r="29">
          <cell r="AD29">
            <v>0</v>
          </cell>
          <cell r="AE29">
            <v>0</v>
          </cell>
        </row>
        <row r="30">
          <cell r="B30">
            <v>10.71</v>
          </cell>
          <cell r="C30">
            <v>10.71</v>
          </cell>
          <cell r="D30">
            <v>10.71</v>
          </cell>
          <cell r="E30">
            <v>10.71</v>
          </cell>
          <cell r="F30">
            <v>10.71</v>
          </cell>
          <cell r="G30">
            <v>10.71</v>
          </cell>
          <cell r="H30">
            <v>10.71</v>
          </cell>
          <cell r="I30">
            <v>10.71</v>
          </cell>
          <cell r="AD30">
            <v>10.71</v>
          </cell>
          <cell r="AE30">
            <v>10.71</v>
          </cell>
        </row>
      </sheetData>
      <sheetData sheetId="7">
        <row r="19">
          <cell r="B19">
            <v>0.375</v>
          </cell>
        </row>
      </sheetData>
      <sheetData sheetId="8">
        <row r="19">
          <cell r="B19">
            <v>0.375</v>
          </cell>
        </row>
      </sheetData>
      <sheetData sheetId="9">
        <row r="19">
          <cell r="B19">
            <v>0.375</v>
          </cell>
        </row>
      </sheetData>
      <sheetData sheetId="10">
        <row r="19">
          <cell r="B19">
            <v>0.375</v>
          </cell>
        </row>
      </sheetData>
      <sheetData sheetId="11">
        <row r="19">
          <cell r="B19">
            <v>0.375</v>
          </cell>
        </row>
      </sheetData>
      <sheetData sheetId="12">
        <row r="19">
          <cell r="B19">
            <v>0.375</v>
          </cell>
        </row>
      </sheetData>
      <sheetData sheetId="13">
        <row r="19">
          <cell r="B19">
            <v>0.375</v>
          </cell>
        </row>
      </sheetData>
      <sheetData sheetId="14">
        <row r="19">
          <cell r="B19">
            <v>0.375</v>
          </cell>
        </row>
      </sheetData>
      <sheetData sheetId="15">
        <row r="19">
          <cell r="B19">
            <v>0.375</v>
          </cell>
        </row>
      </sheetData>
      <sheetData sheetId="16">
        <row r="19">
          <cell r="B19">
            <v>0.375</v>
          </cell>
        </row>
      </sheetData>
      <sheetData sheetId="17">
        <row r="19">
          <cell r="B19">
            <v>0.375</v>
          </cell>
        </row>
      </sheetData>
      <sheetData sheetId="18">
        <row r="19">
          <cell r="B19">
            <v>0.375</v>
          </cell>
        </row>
      </sheetData>
      <sheetData sheetId="19">
        <row r="19">
          <cell r="B19">
            <v>0.375</v>
          </cell>
        </row>
      </sheetData>
      <sheetData sheetId="20">
        <row r="19">
          <cell r="B19">
            <v>0.375</v>
          </cell>
        </row>
      </sheetData>
      <sheetData sheetId="21">
        <row r="19">
          <cell r="B19">
            <v>0.375</v>
          </cell>
        </row>
      </sheetData>
      <sheetData sheetId="22">
        <row r="19">
          <cell r="B19">
            <v>0.375</v>
          </cell>
        </row>
      </sheetData>
      <sheetData sheetId="23">
        <row r="19">
          <cell r="B19">
            <v>0.375</v>
          </cell>
        </row>
      </sheetData>
      <sheetData sheetId="24">
        <row r="19">
          <cell r="B19">
            <v>0.375</v>
          </cell>
        </row>
      </sheetData>
      <sheetData sheetId="25">
        <row r="19">
          <cell r="B19">
            <v>0.375</v>
          </cell>
        </row>
      </sheetData>
      <sheetData sheetId="26">
        <row r="19">
          <cell r="B19">
            <v>0.375</v>
          </cell>
        </row>
      </sheetData>
      <sheetData sheetId="27">
        <row r="19">
          <cell r="B19">
            <v>0.375</v>
          </cell>
        </row>
      </sheetData>
      <sheetData sheetId="28">
        <row r="19">
          <cell r="B19">
            <v>0.375</v>
          </cell>
        </row>
      </sheetData>
      <sheetData sheetId="29">
        <row r="19">
          <cell r="B19">
            <v>0.375</v>
          </cell>
        </row>
      </sheetData>
      <sheetData sheetId="30"/>
      <sheetData sheetId="31"/>
      <sheetData sheetId="32"/>
      <sheetData sheetId="33"/>
      <sheetData sheetId="34">
        <row r="6">
          <cell r="AB6">
            <v>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484D-B50E-490F-ADD3-596071A333B9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T24" sqref="T24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1"/>
      <c r="AB1" s="2"/>
      <c r="AC1" s="3"/>
      <c r="AE1" s="32" t="s">
        <v>1</v>
      </c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</row>
    <row r="2" spans="1:42" ht="23.25" x14ac:dyDescent="0.2">
      <c r="AA2" s="33" t="s">
        <v>2</v>
      </c>
      <c r="AB2" s="34"/>
      <c r="AC2" s="35"/>
      <c r="AE2" s="32" t="s">
        <v>3</v>
      </c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6">
        <v>2020</v>
      </c>
      <c r="Z3" s="37"/>
      <c r="AA3" s="7"/>
      <c r="AB3" s="8"/>
      <c r="AC3" s="9"/>
      <c r="AE3" s="32" t="s">
        <v>8</v>
      </c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 t="s">
        <v>16</v>
      </c>
      <c r="C6" s="17" t="s">
        <v>16</v>
      </c>
      <c r="D6" s="17" t="s">
        <v>16</v>
      </c>
      <c r="E6" s="17" t="s">
        <v>16</v>
      </c>
      <c r="F6" s="17" t="s">
        <v>16</v>
      </c>
      <c r="G6" s="17" t="s">
        <v>16</v>
      </c>
      <c r="H6" s="17" t="s">
        <v>16</v>
      </c>
      <c r="I6" s="17" t="s">
        <v>16</v>
      </c>
      <c r="J6" s="17" t="s">
        <v>16</v>
      </c>
      <c r="K6" s="17" t="s">
        <v>16</v>
      </c>
      <c r="L6" s="17" t="s">
        <v>16</v>
      </c>
      <c r="M6" s="17" t="s">
        <v>16</v>
      </c>
      <c r="N6" s="17" t="s">
        <v>16</v>
      </c>
      <c r="O6" s="17" t="s">
        <v>16</v>
      </c>
      <c r="P6" s="17" t="s">
        <v>16</v>
      </c>
      <c r="Q6" s="17" t="s">
        <v>16</v>
      </c>
      <c r="R6" s="17" t="s">
        <v>16</v>
      </c>
      <c r="S6" s="17" t="s">
        <v>16</v>
      </c>
      <c r="T6" s="17" t="s">
        <v>16</v>
      </c>
      <c r="U6" s="17" t="s">
        <v>16</v>
      </c>
      <c r="V6" s="17" t="s">
        <v>16</v>
      </c>
      <c r="W6" s="17" t="s">
        <v>16</v>
      </c>
      <c r="X6" s="17" t="s">
        <v>16</v>
      </c>
      <c r="Y6" s="17" t="s">
        <v>16</v>
      </c>
      <c r="Z6" s="19" t="e">
        <f t="shared" ref="Z6:Z36" si="0">AVERAGE(B6:Y6)</f>
        <v>#DIV/0!</v>
      </c>
      <c r="AA6" s="20">
        <v>1</v>
      </c>
      <c r="AB6" s="21">
        <f>MAX(B6:Y6)</f>
        <v>0</v>
      </c>
      <c r="AC6" s="21">
        <f>MIN(B6:Y6)</f>
        <v>0</v>
      </c>
    </row>
    <row r="7" spans="1:42" ht="14.25" customHeight="1" x14ac:dyDescent="0.25">
      <c r="A7" s="16">
        <v>2</v>
      </c>
      <c r="B7" s="18">
        <f>HLOOKUP(B5,[1]APR.2!B19:Y30,2,0)</f>
        <v>20.8</v>
      </c>
      <c r="C7" s="18">
        <f>HLOOKUP(C5,[1]APR.2!C19:Z30,2,0)</f>
        <v>20.8</v>
      </c>
      <c r="D7" s="18">
        <f>HLOOKUP(D5,[1]APR.2!D19:AA30,2,0)</f>
        <v>20.8</v>
      </c>
      <c r="E7" s="18">
        <f>HLOOKUP(E5,[1]APR.2!E19:AB30,2,0)</f>
        <v>20.8</v>
      </c>
      <c r="F7" s="18">
        <f>HLOOKUP(F5,[1]APR.2!F19:AC30,2,0)</f>
        <v>20.8</v>
      </c>
      <c r="G7" s="18">
        <f>HLOOKUP(G5,[1]APR.2!G19:AD30,2,0)</f>
        <v>20.8</v>
      </c>
      <c r="H7" s="18">
        <f>HLOOKUP(H5,[1]APR.2!H19:AE30,2,0)</f>
        <v>20.8</v>
      </c>
      <c r="I7" s="18">
        <f>HLOOKUP(I5,[1]APR.2!I19:AF30,2,0)</f>
        <v>20.8</v>
      </c>
      <c r="J7" s="18">
        <f>HLOOKUP(J5,[1]APR.2!J19:AG30,2,0)</f>
        <v>20.8</v>
      </c>
      <c r="K7" s="17" t="s">
        <v>16</v>
      </c>
      <c r="L7" s="17" t="s">
        <v>16</v>
      </c>
      <c r="M7" s="17" t="s">
        <v>16</v>
      </c>
      <c r="N7" s="17" t="s">
        <v>16</v>
      </c>
      <c r="O7" s="17" t="s">
        <v>16</v>
      </c>
      <c r="P7" s="17" t="s">
        <v>16</v>
      </c>
      <c r="Q7" s="17" t="s">
        <v>16</v>
      </c>
      <c r="R7" s="17" t="s">
        <v>16</v>
      </c>
      <c r="S7" s="17" t="s">
        <v>16</v>
      </c>
      <c r="T7" s="17" t="s">
        <v>16</v>
      </c>
      <c r="U7" s="17" t="s">
        <v>16</v>
      </c>
      <c r="V7" s="17" t="s">
        <v>16</v>
      </c>
      <c r="W7" s="17" t="s">
        <v>16</v>
      </c>
      <c r="X7" s="17" t="s">
        <v>16</v>
      </c>
      <c r="Y7" s="17" t="s">
        <v>16</v>
      </c>
      <c r="Z7" s="19">
        <f t="shared" si="0"/>
        <v>20.8</v>
      </c>
      <c r="AA7" s="20">
        <v>2</v>
      </c>
      <c r="AB7" s="21">
        <f t="shared" ref="AB7:AB36" si="1">MAX(B7:Y7)</f>
        <v>20.8</v>
      </c>
      <c r="AC7" s="21">
        <f t="shared" ref="AC7:AC36" si="2">MIN(B7:Y7)</f>
        <v>20.8</v>
      </c>
    </row>
    <row r="8" spans="1:42" ht="14.25" customHeight="1" x14ac:dyDescent="0.25">
      <c r="A8" s="16">
        <v>3</v>
      </c>
      <c r="B8" s="18">
        <f>HLOOKUP(B5,[1]APR.3!B19:Y30,2,0)</f>
        <v>20.8</v>
      </c>
      <c r="C8" s="18">
        <f>HLOOKUP(C5,[1]APR.3!C19:Z30,2,0)</f>
        <v>20.8</v>
      </c>
      <c r="D8" s="18">
        <f>HLOOKUP(D5,[1]APR.3!D19:AA30,2,0)</f>
        <v>20.8</v>
      </c>
      <c r="E8" s="18">
        <f>HLOOKUP(E5,[1]APR.3!E19:AB30,2,0)</f>
        <v>20.8</v>
      </c>
      <c r="F8" s="18">
        <f>HLOOKUP(F5,[1]APR.3!F19:AC30,2,0)</f>
        <v>20.8</v>
      </c>
      <c r="G8" s="18">
        <f>HLOOKUP(G5,[1]APR.3!G19:AD30,2,0)</f>
        <v>20.8</v>
      </c>
      <c r="H8" s="18">
        <f>HLOOKUP(H5,[1]APR.3!H19:AE30,2,0)</f>
        <v>20.8</v>
      </c>
      <c r="I8" s="18">
        <f>HLOOKUP(I5,[1]APR.3!I19:AF30,2,0)</f>
        <v>20.8</v>
      </c>
      <c r="J8" s="18" t="s">
        <v>16</v>
      </c>
      <c r="K8" s="17" t="s">
        <v>16</v>
      </c>
      <c r="L8" s="17" t="s">
        <v>16</v>
      </c>
      <c r="M8" s="17" t="s">
        <v>16</v>
      </c>
      <c r="N8" s="17" t="s">
        <v>16</v>
      </c>
      <c r="O8" s="17" t="s">
        <v>16</v>
      </c>
      <c r="P8" s="17" t="s">
        <v>16</v>
      </c>
      <c r="Q8" s="17" t="s">
        <v>16</v>
      </c>
      <c r="R8" s="17" t="s">
        <v>16</v>
      </c>
      <c r="S8" s="17" t="s">
        <v>16</v>
      </c>
      <c r="T8" s="17" t="s">
        <v>16</v>
      </c>
      <c r="U8" s="17" t="s">
        <v>16</v>
      </c>
      <c r="V8" s="17" t="s">
        <v>16</v>
      </c>
      <c r="W8" s="17" t="s">
        <v>16</v>
      </c>
      <c r="X8" s="17" t="s">
        <v>16</v>
      </c>
      <c r="Y8" s="17" t="s">
        <v>16</v>
      </c>
      <c r="Z8" s="22">
        <f t="shared" si="0"/>
        <v>20.8</v>
      </c>
      <c r="AA8" s="20">
        <v>3</v>
      </c>
      <c r="AB8" s="23">
        <f t="shared" si="1"/>
        <v>20.8</v>
      </c>
      <c r="AC8" s="23">
        <f t="shared" si="2"/>
        <v>20.8</v>
      </c>
    </row>
    <row r="9" spans="1:42" ht="14.25" customHeight="1" x14ac:dyDescent="0.25">
      <c r="A9" s="16">
        <v>4</v>
      </c>
      <c r="B9" s="18" t="s">
        <v>16</v>
      </c>
      <c r="C9" s="18" t="s">
        <v>16</v>
      </c>
      <c r="D9" s="18" t="s">
        <v>16</v>
      </c>
      <c r="E9" s="18" t="s">
        <v>16</v>
      </c>
      <c r="F9" s="18" t="s">
        <v>16</v>
      </c>
      <c r="G9" s="18" t="s">
        <v>16</v>
      </c>
      <c r="H9" s="18" t="s">
        <v>16</v>
      </c>
      <c r="I9" s="18" t="s">
        <v>16</v>
      </c>
      <c r="J9" s="18" t="s">
        <v>16</v>
      </c>
      <c r="K9" s="18" t="s">
        <v>16</v>
      </c>
      <c r="L9" s="17" t="s">
        <v>16</v>
      </c>
      <c r="M9" s="17" t="s">
        <v>16</v>
      </c>
      <c r="N9" s="17" t="s">
        <v>16</v>
      </c>
      <c r="O9" s="17" t="s">
        <v>16</v>
      </c>
      <c r="P9" s="17" t="s">
        <v>16</v>
      </c>
      <c r="Q9" s="17" t="s">
        <v>16</v>
      </c>
      <c r="R9" s="17" t="s">
        <v>16</v>
      </c>
      <c r="S9" s="17" t="s">
        <v>16</v>
      </c>
      <c r="T9" s="17" t="s">
        <v>16</v>
      </c>
      <c r="U9" s="17" t="s">
        <v>16</v>
      </c>
      <c r="V9" s="17" t="s">
        <v>16</v>
      </c>
      <c r="W9" s="17" t="s">
        <v>16</v>
      </c>
      <c r="X9" s="17" t="s">
        <v>16</v>
      </c>
      <c r="Y9" s="17" t="s">
        <v>16</v>
      </c>
      <c r="Z9" s="22" t="e">
        <f t="shared" si="0"/>
        <v>#DIV/0!</v>
      </c>
      <c r="AA9" s="20">
        <v>4</v>
      </c>
      <c r="AB9" s="21">
        <f t="shared" si="1"/>
        <v>0</v>
      </c>
      <c r="AC9" s="21">
        <f t="shared" si="2"/>
        <v>0</v>
      </c>
    </row>
    <row r="10" spans="1:42" ht="14.25" customHeight="1" x14ac:dyDescent="0.25">
      <c r="A10" s="16">
        <v>5</v>
      </c>
      <c r="B10" s="18" t="s">
        <v>16</v>
      </c>
      <c r="C10" s="18" t="s">
        <v>16</v>
      </c>
      <c r="D10" s="18" t="s">
        <v>16</v>
      </c>
      <c r="E10" s="18" t="s">
        <v>16</v>
      </c>
      <c r="F10" s="18" t="s">
        <v>16</v>
      </c>
      <c r="G10" s="18" t="s">
        <v>16</v>
      </c>
      <c r="H10" s="18" t="s">
        <v>16</v>
      </c>
      <c r="I10" s="18" t="s">
        <v>16</v>
      </c>
      <c r="J10" s="18" t="s">
        <v>16</v>
      </c>
      <c r="K10" s="18" t="s">
        <v>16</v>
      </c>
      <c r="L10" s="17" t="s">
        <v>16</v>
      </c>
      <c r="M10" s="17" t="s">
        <v>16</v>
      </c>
      <c r="N10" s="17" t="s">
        <v>16</v>
      </c>
      <c r="O10" s="17" t="s">
        <v>16</v>
      </c>
      <c r="P10" s="17" t="s">
        <v>16</v>
      </c>
      <c r="Q10" s="17" t="s">
        <v>16</v>
      </c>
      <c r="R10" s="17" t="s">
        <v>16</v>
      </c>
      <c r="S10" s="17" t="s">
        <v>16</v>
      </c>
      <c r="T10" s="17" t="s">
        <v>16</v>
      </c>
      <c r="U10" s="17" t="s">
        <v>16</v>
      </c>
      <c r="V10" s="17" t="s">
        <v>16</v>
      </c>
      <c r="W10" s="17" t="s">
        <v>16</v>
      </c>
      <c r="X10" s="17" t="s">
        <v>16</v>
      </c>
      <c r="Y10" s="17" t="s">
        <v>16</v>
      </c>
      <c r="Z10" s="22" t="e">
        <f t="shared" si="0"/>
        <v>#DIV/0!</v>
      </c>
      <c r="AA10" s="20">
        <v>5</v>
      </c>
      <c r="AB10" s="21">
        <f t="shared" si="1"/>
        <v>0</v>
      </c>
      <c r="AC10" s="21">
        <f t="shared" si="2"/>
        <v>0</v>
      </c>
    </row>
    <row r="11" spans="1:42" ht="14.25" customHeight="1" x14ac:dyDescent="0.25">
      <c r="A11" s="16">
        <v>6</v>
      </c>
      <c r="B11" s="18" t="s">
        <v>16</v>
      </c>
      <c r="C11" s="18" t="s">
        <v>16</v>
      </c>
      <c r="D11" s="18" t="s">
        <v>16</v>
      </c>
      <c r="E11" s="18" t="s">
        <v>16</v>
      </c>
      <c r="F11" s="18" t="s">
        <v>16</v>
      </c>
      <c r="G11" s="18" t="s">
        <v>16</v>
      </c>
      <c r="H11" s="18" t="s">
        <v>16</v>
      </c>
      <c r="I11" s="18" t="s">
        <v>16</v>
      </c>
      <c r="J11" s="18" t="s">
        <v>16</v>
      </c>
      <c r="K11" s="18" t="s">
        <v>16</v>
      </c>
      <c r="L11" s="17" t="s">
        <v>16</v>
      </c>
      <c r="M11" s="17" t="s">
        <v>16</v>
      </c>
      <c r="N11" s="17" t="s">
        <v>16</v>
      </c>
      <c r="O11" s="17" t="s">
        <v>16</v>
      </c>
      <c r="P11" s="17" t="s">
        <v>16</v>
      </c>
      <c r="Q11" s="17" t="s">
        <v>16</v>
      </c>
      <c r="R11" s="17" t="s">
        <v>16</v>
      </c>
      <c r="S11" s="17" t="s">
        <v>16</v>
      </c>
      <c r="T11" s="17" t="s">
        <v>16</v>
      </c>
      <c r="U11" s="17" t="s">
        <v>16</v>
      </c>
      <c r="V11" s="17" t="s">
        <v>16</v>
      </c>
      <c r="W11" s="17" t="s">
        <v>16</v>
      </c>
      <c r="X11" s="17" t="s">
        <v>16</v>
      </c>
      <c r="Y11" s="17" t="s">
        <v>16</v>
      </c>
      <c r="Z11" s="19" t="e">
        <f t="shared" si="0"/>
        <v>#DIV/0!</v>
      </c>
      <c r="AA11" s="20">
        <v>6</v>
      </c>
      <c r="AB11" s="21">
        <f>MAX(B11:Y11)</f>
        <v>0</v>
      </c>
      <c r="AC11" s="21">
        <f>MIN(B11:Y11)</f>
        <v>0</v>
      </c>
    </row>
    <row r="12" spans="1:42" ht="14.25" customHeight="1" x14ac:dyDescent="0.25">
      <c r="A12" s="16">
        <v>7</v>
      </c>
      <c r="B12" s="18" t="s">
        <v>16</v>
      </c>
      <c r="C12" s="18" t="s">
        <v>16</v>
      </c>
      <c r="D12" s="18" t="s">
        <v>16</v>
      </c>
      <c r="E12" s="18" t="s">
        <v>16</v>
      </c>
      <c r="F12" s="18" t="s">
        <v>16</v>
      </c>
      <c r="G12" s="18" t="s">
        <v>16</v>
      </c>
      <c r="H12" s="18" t="s">
        <v>16</v>
      </c>
      <c r="I12" s="18" t="s">
        <v>16</v>
      </c>
      <c r="J12" s="18" t="s">
        <v>16</v>
      </c>
      <c r="K12" s="17" t="s">
        <v>16</v>
      </c>
      <c r="L12" s="17" t="s">
        <v>16</v>
      </c>
      <c r="M12" s="17" t="s">
        <v>16</v>
      </c>
      <c r="N12" s="17" t="s">
        <v>16</v>
      </c>
      <c r="O12" s="17" t="s">
        <v>16</v>
      </c>
      <c r="P12" s="17" t="s">
        <v>16</v>
      </c>
      <c r="Q12" s="17" t="s">
        <v>16</v>
      </c>
      <c r="R12" s="17" t="s">
        <v>16</v>
      </c>
      <c r="S12" s="17" t="s">
        <v>16</v>
      </c>
      <c r="T12" s="17" t="s">
        <v>16</v>
      </c>
      <c r="U12" s="17" t="s">
        <v>16</v>
      </c>
      <c r="V12" s="17" t="s">
        <v>16</v>
      </c>
      <c r="W12" s="17" t="s">
        <v>16</v>
      </c>
      <c r="X12" s="17" t="s">
        <v>16</v>
      </c>
      <c r="Y12" s="17" t="s">
        <v>16</v>
      </c>
      <c r="Z12" s="19" t="e">
        <f t="shared" si="0"/>
        <v>#DIV/0!</v>
      </c>
      <c r="AA12" s="20">
        <v>7</v>
      </c>
      <c r="AB12" s="21">
        <f t="shared" si="1"/>
        <v>0</v>
      </c>
      <c r="AC12" s="21">
        <f t="shared" si="2"/>
        <v>0</v>
      </c>
    </row>
    <row r="13" spans="1:42" ht="14.25" customHeight="1" x14ac:dyDescent="0.25">
      <c r="A13" s="16">
        <v>8</v>
      </c>
      <c r="B13" s="18">
        <f>HLOOKUP(B5,[1]APR.7!B19:Y30,2,0)</f>
        <v>20.8</v>
      </c>
      <c r="C13" s="18">
        <f>HLOOKUP(C5,[1]APR.7!C19:Z30,2,0)</f>
        <v>20.8</v>
      </c>
      <c r="D13" s="18">
        <f>HLOOKUP(D5,[1]APR.7!D19:AA30,2,0)</f>
        <v>20.8</v>
      </c>
      <c r="E13" s="18">
        <f>HLOOKUP(E5,[1]APR.7!E19:AB30,2,0)</f>
        <v>20.79</v>
      </c>
      <c r="F13" s="18">
        <f>HLOOKUP(F5,[1]APR.7!F19:AC30,2,0)</f>
        <v>20.79</v>
      </c>
      <c r="G13" s="18">
        <f>HLOOKUP(G5,[1]APR.7!G19:AD30,2,0)</f>
        <v>20.79</v>
      </c>
      <c r="H13" s="18">
        <f>HLOOKUP(H5,[1]APR.7!H19:AE30,2,0)</f>
        <v>20.79</v>
      </c>
      <c r="I13" s="18">
        <f>HLOOKUP(I5,[1]APR.7!I19:AF30,2,0)</f>
        <v>20.79</v>
      </c>
      <c r="J13" s="18" t="s">
        <v>16</v>
      </c>
      <c r="K13" s="17" t="s">
        <v>16</v>
      </c>
      <c r="L13" s="17" t="s">
        <v>16</v>
      </c>
      <c r="M13" s="17" t="s">
        <v>16</v>
      </c>
      <c r="N13" s="17" t="s">
        <v>16</v>
      </c>
      <c r="O13" s="17" t="s">
        <v>16</v>
      </c>
      <c r="P13" s="17" t="s">
        <v>16</v>
      </c>
      <c r="Q13" s="17" t="s">
        <v>16</v>
      </c>
      <c r="R13" s="17" t="s">
        <v>16</v>
      </c>
      <c r="S13" s="17" t="s">
        <v>16</v>
      </c>
      <c r="T13" s="17" t="s">
        <v>16</v>
      </c>
      <c r="U13" s="17" t="s">
        <v>16</v>
      </c>
      <c r="V13" s="17" t="s">
        <v>16</v>
      </c>
      <c r="W13" s="17" t="s">
        <v>16</v>
      </c>
      <c r="X13" s="17" t="s">
        <v>16</v>
      </c>
      <c r="Y13" s="17" t="s">
        <v>16</v>
      </c>
      <c r="Z13" s="19">
        <f t="shared" si="0"/>
        <v>20.793749999999996</v>
      </c>
      <c r="AA13" s="20">
        <v>8</v>
      </c>
      <c r="AB13" s="21">
        <f t="shared" si="1"/>
        <v>20.8</v>
      </c>
      <c r="AC13" s="21">
        <f t="shared" si="2"/>
        <v>20.79</v>
      </c>
    </row>
    <row r="14" spans="1:42" ht="14.25" customHeight="1" x14ac:dyDescent="0.25">
      <c r="A14" s="16">
        <v>9</v>
      </c>
      <c r="B14" s="18" t="s">
        <v>16</v>
      </c>
      <c r="C14" s="18" t="s">
        <v>16</v>
      </c>
      <c r="D14" s="18" t="s">
        <v>16</v>
      </c>
      <c r="E14" s="18" t="s">
        <v>16</v>
      </c>
      <c r="F14" s="18" t="s">
        <v>16</v>
      </c>
      <c r="G14" s="18" t="s">
        <v>16</v>
      </c>
      <c r="H14" s="18" t="s">
        <v>16</v>
      </c>
      <c r="I14" s="18" t="s">
        <v>16</v>
      </c>
      <c r="J14" s="18" t="s">
        <v>16</v>
      </c>
      <c r="K14" s="18" t="s">
        <v>16</v>
      </c>
      <c r="L14" s="18" t="s">
        <v>16</v>
      </c>
      <c r="M14" s="18" t="s">
        <v>16</v>
      </c>
      <c r="N14" s="18" t="s">
        <v>16</v>
      </c>
      <c r="O14" s="18" t="s">
        <v>16</v>
      </c>
      <c r="P14" s="18" t="s">
        <v>16</v>
      </c>
      <c r="Q14" s="18" t="s">
        <v>16</v>
      </c>
      <c r="R14" s="18" t="s">
        <v>16</v>
      </c>
      <c r="S14" s="18" t="s">
        <v>16</v>
      </c>
      <c r="T14" s="18" t="s">
        <v>16</v>
      </c>
      <c r="U14" s="18" t="s">
        <v>16</v>
      </c>
      <c r="V14" s="18" t="s">
        <v>16</v>
      </c>
      <c r="W14" s="18" t="s">
        <v>16</v>
      </c>
      <c r="X14" s="18" t="s">
        <v>16</v>
      </c>
      <c r="Y14" s="18" t="s">
        <v>16</v>
      </c>
      <c r="Z14" s="19" t="e">
        <f t="shared" si="0"/>
        <v>#DIV/0!</v>
      </c>
      <c r="AA14" s="20">
        <v>9</v>
      </c>
      <c r="AB14" s="21">
        <f t="shared" si="1"/>
        <v>0</v>
      </c>
      <c r="AC14" s="21">
        <f t="shared" si="2"/>
        <v>0</v>
      </c>
    </row>
    <row r="15" spans="1:42" ht="14.25" customHeight="1" x14ac:dyDescent="0.25">
      <c r="A15" s="16">
        <v>10</v>
      </c>
      <c r="B15" s="18" t="s">
        <v>16</v>
      </c>
      <c r="C15" s="18" t="s">
        <v>16</v>
      </c>
      <c r="D15" s="18" t="s">
        <v>16</v>
      </c>
      <c r="E15" s="18" t="s">
        <v>16</v>
      </c>
      <c r="F15" s="18" t="s">
        <v>16</v>
      </c>
      <c r="G15" s="18" t="s">
        <v>16</v>
      </c>
      <c r="H15" s="18" t="s">
        <v>16</v>
      </c>
      <c r="I15" s="18" t="s">
        <v>16</v>
      </c>
      <c r="J15" s="18" t="s">
        <v>16</v>
      </c>
      <c r="K15" s="18" t="s">
        <v>16</v>
      </c>
      <c r="L15" s="18" t="s">
        <v>16</v>
      </c>
      <c r="M15" s="18" t="s">
        <v>16</v>
      </c>
      <c r="N15" s="18" t="s">
        <v>16</v>
      </c>
      <c r="O15" s="18" t="s">
        <v>16</v>
      </c>
      <c r="P15" s="18" t="s">
        <v>16</v>
      </c>
      <c r="Q15" s="18" t="s">
        <v>16</v>
      </c>
      <c r="R15" s="18" t="s">
        <v>16</v>
      </c>
      <c r="S15" s="18" t="s">
        <v>16</v>
      </c>
      <c r="T15" s="18" t="s">
        <v>16</v>
      </c>
      <c r="U15" s="18" t="s">
        <v>16</v>
      </c>
      <c r="V15" s="18" t="s">
        <v>16</v>
      </c>
      <c r="W15" s="18" t="s">
        <v>16</v>
      </c>
      <c r="X15" s="18" t="s">
        <v>16</v>
      </c>
      <c r="Y15" s="18" t="s">
        <v>16</v>
      </c>
      <c r="Z15" s="19" t="e">
        <f t="shared" si="0"/>
        <v>#DIV/0!</v>
      </c>
      <c r="AA15" s="20">
        <v>10</v>
      </c>
      <c r="AB15" s="21">
        <f t="shared" si="1"/>
        <v>0</v>
      </c>
      <c r="AC15" s="21">
        <f t="shared" si="2"/>
        <v>0</v>
      </c>
    </row>
    <row r="16" spans="1:42" ht="14.25" customHeight="1" x14ac:dyDescent="0.25">
      <c r="A16" s="16">
        <v>11</v>
      </c>
      <c r="B16" s="18" t="s">
        <v>16</v>
      </c>
      <c r="C16" s="18" t="s">
        <v>16</v>
      </c>
      <c r="D16" s="18" t="s">
        <v>16</v>
      </c>
      <c r="E16" s="18" t="s">
        <v>16</v>
      </c>
      <c r="F16" s="18" t="s">
        <v>16</v>
      </c>
      <c r="G16" s="18" t="s">
        <v>16</v>
      </c>
      <c r="H16" s="18" t="s">
        <v>16</v>
      </c>
      <c r="I16" s="18" t="s">
        <v>16</v>
      </c>
      <c r="J16" s="18" t="s">
        <v>16</v>
      </c>
      <c r="K16" s="18" t="s">
        <v>16</v>
      </c>
      <c r="L16" s="18" t="s">
        <v>16</v>
      </c>
      <c r="M16" s="18" t="s">
        <v>16</v>
      </c>
      <c r="N16" s="18" t="s">
        <v>16</v>
      </c>
      <c r="O16" s="18" t="s">
        <v>16</v>
      </c>
      <c r="P16" s="18" t="s">
        <v>16</v>
      </c>
      <c r="Q16" s="18" t="s">
        <v>16</v>
      </c>
      <c r="R16" s="18" t="s">
        <v>16</v>
      </c>
      <c r="S16" s="18" t="s">
        <v>16</v>
      </c>
      <c r="T16" s="18" t="s">
        <v>16</v>
      </c>
      <c r="U16" s="18" t="s">
        <v>16</v>
      </c>
      <c r="V16" s="18" t="s">
        <v>16</v>
      </c>
      <c r="W16" s="18" t="s">
        <v>16</v>
      </c>
      <c r="X16" s="18" t="s">
        <v>16</v>
      </c>
      <c r="Y16" s="18" t="s">
        <v>16</v>
      </c>
      <c r="Z16" s="19" t="e">
        <f t="shared" si="0"/>
        <v>#DIV/0!</v>
      </c>
      <c r="AA16" s="20">
        <v>11</v>
      </c>
      <c r="AB16" s="21">
        <f t="shared" si="1"/>
        <v>0</v>
      </c>
      <c r="AC16" s="21">
        <f t="shared" si="2"/>
        <v>0</v>
      </c>
    </row>
    <row r="17" spans="1:29" ht="14.25" customHeight="1" x14ac:dyDescent="0.25">
      <c r="A17" s="16">
        <v>12</v>
      </c>
      <c r="B17" s="18" t="s">
        <v>16</v>
      </c>
      <c r="C17" s="18" t="s">
        <v>16</v>
      </c>
      <c r="D17" s="18" t="s">
        <v>16</v>
      </c>
      <c r="E17" s="18" t="s">
        <v>16</v>
      </c>
      <c r="F17" s="18" t="s">
        <v>16</v>
      </c>
      <c r="G17" s="18" t="s">
        <v>16</v>
      </c>
      <c r="H17" s="18" t="s">
        <v>16</v>
      </c>
      <c r="I17" s="18" t="s">
        <v>16</v>
      </c>
      <c r="J17" s="18" t="s">
        <v>16</v>
      </c>
      <c r="K17" s="18" t="s">
        <v>16</v>
      </c>
      <c r="L17" s="18" t="s">
        <v>16</v>
      </c>
      <c r="M17" s="18" t="s">
        <v>16</v>
      </c>
      <c r="N17" s="18" t="s">
        <v>16</v>
      </c>
      <c r="O17" s="18" t="s">
        <v>16</v>
      </c>
      <c r="P17" s="18" t="s">
        <v>16</v>
      </c>
      <c r="Q17" s="18" t="s">
        <v>16</v>
      </c>
      <c r="R17" s="18" t="s">
        <v>16</v>
      </c>
      <c r="S17" s="18" t="s">
        <v>16</v>
      </c>
      <c r="T17" s="18" t="s">
        <v>16</v>
      </c>
      <c r="U17" s="18" t="s">
        <v>16</v>
      </c>
      <c r="V17" s="18" t="s">
        <v>16</v>
      </c>
      <c r="W17" s="18" t="s">
        <v>16</v>
      </c>
      <c r="X17" s="18" t="s">
        <v>16</v>
      </c>
      <c r="Y17" s="18" t="s">
        <v>16</v>
      </c>
      <c r="Z17" s="19" t="e">
        <f t="shared" si="0"/>
        <v>#DIV/0!</v>
      </c>
      <c r="AA17" s="20">
        <v>12</v>
      </c>
      <c r="AB17" s="21">
        <f t="shared" si="1"/>
        <v>0</v>
      </c>
      <c r="AC17" s="21">
        <f t="shared" si="2"/>
        <v>0</v>
      </c>
    </row>
    <row r="18" spans="1:29" ht="14.25" customHeight="1" x14ac:dyDescent="0.25">
      <c r="A18" s="16">
        <v>13</v>
      </c>
      <c r="B18" s="18" t="s">
        <v>16</v>
      </c>
      <c r="C18" s="18" t="s">
        <v>16</v>
      </c>
      <c r="D18" s="18" t="s">
        <v>16</v>
      </c>
      <c r="E18" s="18" t="s">
        <v>16</v>
      </c>
      <c r="F18" s="18" t="s">
        <v>16</v>
      </c>
      <c r="G18" s="18" t="s">
        <v>16</v>
      </c>
      <c r="H18" s="18" t="s">
        <v>16</v>
      </c>
      <c r="I18" s="18" t="s">
        <v>16</v>
      </c>
      <c r="J18" s="18" t="s">
        <v>16</v>
      </c>
      <c r="K18" s="18" t="s">
        <v>16</v>
      </c>
      <c r="L18" s="18" t="s">
        <v>16</v>
      </c>
      <c r="M18" s="18" t="s">
        <v>16</v>
      </c>
      <c r="N18" s="18" t="s">
        <v>16</v>
      </c>
      <c r="O18" s="18" t="s">
        <v>16</v>
      </c>
      <c r="P18" s="18" t="s">
        <v>16</v>
      </c>
      <c r="Q18" s="18" t="s">
        <v>16</v>
      </c>
      <c r="R18" s="18" t="s">
        <v>16</v>
      </c>
      <c r="S18" s="18" t="s">
        <v>16</v>
      </c>
      <c r="T18" s="18" t="s">
        <v>16</v>
      </c>
      <c r="U18" s="18" t="s">
        <v>16</v>
      </c>
      <c r="V18" s="18" t="s">
        <v>16</v>
      </c>
      <c r="W18" s="18" t="s">
        <v>16</v>
      </c>
      <c r="X18" s="18" t="s">
        <v>16</v>
      </c>
      <c r="Y18" s="18" t="s">
        <v>16</v>
      </c>
      <c r="Z18" s="19" t="e">
        <f t="shared" si="0"/>
        <v>#DIV/0!</v>
      </c>
      <c r="AA18" s="20">
        <v>13</v>
      </c>
      <c r="AB18" s="21">
        <f t="shared" si="1"/>
        <v>0</v>
      </c>
      <c r="AC18" s="21">
        <f t="shared" si="2"/>
        <v>0</v>
      </c>
    </row>
    <row r="19" spans="1:29" ht="14.25" customHeight="1" x14ac:dyDescent="0.25">
      <c r="A19" s="16">
        <v>14</v>
      </c>
      <c r="B19" s="18" t="s">
        <v>16</v>
      </c>
      <c r="C19" s="18" t="s">
        <v>16</v>
      </c>
      <c r="D19" s="18" t="s">
        <v>16</v>
      </c>
      <c r="E19" s="18" t="s">
        <v>16</v>
      </c>
      <c r="F19" s="18" t="s">
        <v>16</v>
      </c>
      <c r="G19" s="18" t="s">
        <v>16</v>
      </c>
      <c r="H19" s="18" t="s">
        <v>16</v>
      </c>
      <c r="I19" s="18" t="s">
        <v>16</v>
      </c>
      <c r="J19" s="18" t="s">
        <v>16</v>
      </c>
      <c r="K19" s="18" t="s">
        <v>16</v>
      </c>
      <c r="L19" s="18" t="s">
        <v>16</v>
      </c>
      <c r="M19" s="18" t="s">
        <v>16</v>
      </c>
      <c r="N19" s="18" t="s">
        <v>16</v>
      </c>
      <c r="O19" s="18" t="s">
        <v>16</v>
      </c>
      <c r="P19" s="18" t="s">
        <v>16</v>
      </c>
      <c r="Q19" s="18" t="s">
        <v>16</v>
      </c>
      <c r="R19" s="18" t="s">
        <v>16</v>
      </c>
      <c r="S19" s="18" t="s">
        <v>16</v>
      </c>
      <c r="T19" s="18" t="s">
        <v>16</v>
      </c>
      <c r="U19" s="18" t="s">
        <v>16</v>
      </c>
      <c r="V19" s="18" t="s">
        <v>16</v>
      </c>
      <c r="W19" s="18" t="s">
        <v>16</v>
      </c>
      <c r="X19" s="18" t="s">
        <v>16</v>
      </c>
      <c r="Y19" s="18" t="s">
        <v>16</v>
      </c>
      <c r="Z19" s="19" t="e">
        <f t="shared" si="0"/>
        <v>#DIV/0!</v>
      </c>
      <c r="AA19" s="20">
        <v>14</v>
      </c>
      <c r="AB19" s="21">
        <f t="shared" si="1"/>
        <v>0</v>
      </c>
      <c r="AC19" s="21">
        <f t="shared" si="2"/>
        <v>0</v>
      </c>
    </row>
    <row r="20" spans="1:29" ht="14.25" customHeight="1" x14ac:dyDescent="0.25">
      <c r="A20" s="16">
        <v>15</v>
      </c>
      <c r="B20" s="18" t="s">
        <v>16</v>
      </c>
      <c r="C20" s="18" t="s">
        <v>16</v>
      </c>
      <c r="D20" s="18" t="s">
        <v>16</v>
      </c>
      <c r="E20" s="18" t="s">
        <v>16</v>
      </c>
      <c r="F20" s="18" t="s">
        <v>16</v>
      </c>
      <c r="G20" s="18" t="s">
        <v>16</v>
      </c>
      <c r="H20" s="18" t="s">
        <v>16</v>
      </c>
      <c r="I20" s="18" t="s">
        <v>16</v>
      </c>
      <c r="J20" s="18" t="s">
        <v>16</v>
      </c>
      <c r="K20" s="18" t="s">
        <v>16</v>
      </c>
      <c r="L20" s="18" t="s">
        <v>16</v>
      </c>
      <c r="M20" s="18" t="s">
        <v>16</v>
      </c>
      <c r="N20" s="18" t="s">
        <v>16</v>
      </c>
      <c r="O20" s="18" t="s">
        <v>16</v>
      </c>
      <c r="P20" s="18" t="s">
        <v>16</v>
      </c>
      <c r="Q20" s="18" t="s">
        <v>16</v>
      </c>
      <c r="R20" s="18" t="s">
        <v>16</v>
      </c>
      <c r="S20" s="18" t="s">
        <v>16</v>
      </c>
      <c r="T20" s="18" t="s">
        <v>16</v>
      </c>
      <c r="U20" s="18" t="s">
        <v>16</v>
      </c>
      <c r="V20" s="18" t="s">
        <v>16</v>
      </c>
      <c r="W20" s="18" t="s">
        <v>16</v>
      </c>
      <c r="X20" s="18" t="s">
        <v>16</v>
      </c>
      <c r="Y20" s="18" t="s">
        <v>16</v>
      </c>
      <c r="Z20" s="19" t="e">
        <f t="shared" si="0"/>
        <v>#DIV/0!</v>
      </c>
      <c r="AA20" s="20">
        <v>15</v>
      </c>
      <c r="AB20" s="21">
        <f t="shared" si="1"/>
        <v>0</v>
      </c>
      <c r="AC20" s="21">
        <f t="shared" si="2"/>
        <v>0</v>
      </c>
    </row>
    <row r="21" spans="1:29" ht="14.25" customHeight="1" x14ac:dyDescent="0.25">
      <c r="A21" s="16">
        <v>16</v>
      </c>
      <c r="B21" s="18" t="s">
        <v>16</v>
      </c>
      <c r="C21" s="18" t="s">
        <v>16</v>
      </c>
      <c r="D21" s="18" t="s">
        <v>16</v>
      </c>
      <c r="E21" s="18" t="s">
        <v>16</v>
      </c>
      <c r="F21" s="18" t="s">
        <v>16</v>
      </c>
      <c r="G21" s="18" t="s">
        <v>16</v>
      </c>
      <c r="H21" s="18" t="s">
        <v>16</v>
      </c>
      <c r="I21" s="18" t="s">
        <v>16</v>
      </c>
      <c r="J21" s="18" t="s">
        <v>16</v>
      </c>
      <c r="K21" s="18" t="s">
        <v>16</v>
      </c>
      <c r="L21" s="18" t="s">
        <v>16</v>
      </c>
      <c r="M21" s="18" t="s">
        <v>16</v>
      </c>
      <c r="N21" s="18" t="s">
        <v>16</v>
      </c>
      <c r="O21" s="18" t="s">
        <v>16</v>
      </c>
      <c r="P21" s="18" t="s">
        <v>16</v>
      </c>
      <c r="Q21" s="18" t="s">
        <v>16</v>
      </c>
      <c r="R21" s="18" t="s">
        <v>16</v>
      </c>
      <c r="S21" s="18" t="s">
        <v>16</v>
      </c>
      <c r="T21" s="18" t="s">
        <v>16</v>
      </c>
      <c r="U21" s="18" t="s">
        <v>16</v>
      </c>
      <c r="V21" s="18" t="s">
        <v>16</v>
      </c>
      <c r="W21" s="18" t="s">
        <v>16</v>
      </c>
      <c r="X21" s="18" t="s">
        <v>16</v>
      </c>
      <c r="Y21" s="18" t="s">
        <v>16</v>
      </c>
      <c r="Z21" s="19" t="e">
        <f t="shared" si="0"/>
        <v>#DIV/0!</v>
      </c>
      <c r="AA21" s="20">
        <v>16</v>
      </c>
      <c r="AB21" s="21">
        <f t="shared" si="1"/>
        <v>0</v>
      </c>
      <c r="AC21" s="21">
        <f t="shared" si="2"/>
        <v>0</v>
      </c>
    </row>
    <row r="22" spans="1:29" ht="14.25" customHeight="1" x14ac:dyDescent="0.25">
      <c r="A22" s="16">
        <v>17</v>
      </c>
      <c r="B22" s="18" t="s">
        <v>16</v>
      </c>
      <c r="C22" s="18" t="s">
        <v>16</v>
      </c>
      <c r="D22" s="18" t="s">
        <v>16</v>
      </c>
      <c r="E22" s="18" t="s">
        <v>16</v>
      </c>
      <c r="F22" s="18" t="s">
        <v>16</v>
      </c>
      <c r="G22" s="18" t="s">
        <v>16</v>
      </c>
      <c r="H22" s="18" t="s">
        <v>16</v>
      </c>
      <c r="I22" s="18" t="s">
        <v>16</v>
      </c>
      <c r="J22" s="18" t="s">
        <v>16</v>
      </c>
      <c r="K22" s="18" t="s">
        <v>16</v>
      </c>
      <c r="L22" s="18" t="s">
        <v>16</v>
      </c>
      <c r="M22" s="18" t="s">
        <v>16</v>
      </c>
      <c r="N22" s="18" t="s">
        <v>16</v>
      </c>
      <c r="O22" s="18" t="s">
        <v>16</v>
      </c>
      <c r="P22" s="18" t="s">
        <v>16</v>
      </c>
      <c r="Q22" s="18" t="s">
        <v>16</v>
      </c>
      <c r="R22" s="18" t="s">
        <v>16</v>
      </c>
      <c r="S22" s="18" t="s">
        <v>16</v>
      </c>
      <c r="T22" s="18" t="s">
        <v>16</v>
      </c>
      <c r="U22" s="18" t="s">
        <v>16</v>
      </c>
      <c r="V22" s="18" t="s">
        <v>16</v>
      </c>
      <c r="W22" s="18" t="s">
        <v>16</v>
      </c>
      <c r="X22" s="18" t="s">
        <v>16</v>
      </c>
      <c r="Y22" s="18" t="s">
        <v>16</v>
      </c>
      <c r="Z22" s="19" t="e">
        <f t="shared" si="0"/>
        <v>#DIV/0!</v>
      </c>
      <c r="AA22" s="20">
        <v>17</v>
      </c>
      <c r="AB22" s="21">
        <f>MAX(B22:Y22)</f>
        <v>0</v>
      </c>
      <c r="AC22" s="21">
        <f>MIN(B22:Y22)</f>
        <v>0</v>
      </c>
    </row>
    <row r="23" spans="1:29" ht="14.25" customHeight="1" x14ac:dyDescent="0.25">
      <c r="A23" s="16">
        <v>18</v>
      </c>
      <c r="B23" s="18" t="s">
        <v>16</v>
      </c>
      <c r="C23" s="18" t="s">
        <v>16</v>
      </c>
      <c r="D23" s="18" t="s">
        <v>16</v>
      </c>
      <c r="E23" s="18" t="s">
        <v>16</v>
      </c>
      <c r="F23" s="18" t="s">
        <v>16</v>
      </c>
      <c r="G23" s="18" t="s">
        <v>16</v>
      </c>
      <c r="H23" s="18" t="s">
        <v>16</v>
      </c>
      <c r="I23" s="18" t="s">
        <v>16</v>
      </c>
      <c r="J23" s="18" t="s">
        <v>16</v>
      </c>
      <c r="K23" s="18" t="s">
        <v>16</v>
      </c>
      <c r="L23" s="18" t="s">
        <v>16</v>
      </c>
      <c r="M23" s="18" t="s">
        <v>16</v>
      </c>
      <c r="N23" s="18" t="s">
        <v>16</v>
      </c>
      <c r="O23" s="18" t="s">
        <v>16</v>
      </c>
      <c r="P23" s="18" t="s">
        <v>16</v>
      </c>
      <c r="Q23" s="18" t="s">
        <v>16</v>
      </c>
      <c r="R23" s="18" t="s">
        <v>16</v>
      </c>
      <c r="S23" s="18" t="s">
        <v>16</v>
      </c>
      <c r="T23" s="18" t="s">
        <v>16</v>
      </c>
      <c r="U23" s="18" t="s">
        <v>16</v>
      </c>
      <c r="V23" s="18" t="s">
        <v>16</v>
      </c>
      <c r="W23" s="18" t="s">
        <v>16</v>
      </c>
      <c r="X23" s="18" t="s">
        <v>16</v>
      </c>
      <c r="Y23" s="18" t="s">
        <v>16</v>
      </c>
      <c r="Z23" s="19" t="e">
        <f t="shared" si="0"/>
        <v>#DIV/0!</v>
      </c>
      <c r="AA23" s="20">
        <v>18</v>
      </c>
      <c r="AB23" s="21">
        <f t="shared" si="1"/>
        <v>0</v>
      </c>
      <c r="AC23" s="21">
        <f t="shared" si="2"/>
        <v>0</v>
      </c>
    </row>
    <row r="24" spans="1:29" ht="14.25" customHeight="1" x14ac:dyDescent="0.25">
      <c r="A24" s="16">
        <v>19</v>
      </c>
      <c r="B24" s="18" t="s">
        <v>16</v>
      </c>
      <c r="C24" s="18" t="s">
        <v>16</v>
      </c>
      <c r="D24" s="18" t="s">
        <v>16</v>
      </c>
      <c r="E24" s="18" t="s">
        <v>16</v>
      </c>
      <c r="F24" s="18" t="s">
        <v>16</v>
      </c>
      <c r="G24" s="18" t="s">
        <v>16</v>
      </c>
      <c r="H24" s="18" t="s">
        <v>16</v>
      </c>
      <c r="I24" s="18" t="s">
        <v>16</v>
      </c>
      <c r="J24" s="18" t="s">
        <v>16</v>
      </c>
      <c r="K24" s="18" t="s">
        <v>16</v>
      </c>
      <c r="L24" s="18" t="s">
        <v>16</v>
      </c>
      <c r="M24" s="18" t="s">
        <v>16</v>
      </c>
      <c r="N24" s="18" t="s">
        <v>16</v>
      </c>
      <c r="O24" s="18" t="s">
        <v>16</v>
      </c>
      <c r="P24" s="18" t="s">
        <v>16</v>
      </c>
      <c r="Q24" s="18" t="s">
        <v>16</v>
      </c>
      <c r="R24" s="18" t="s">
        <v>16</v>
      </c>
      <c r="S24" s="18" t="s">
        <v>16</v>
      </c>
      <c r="T24" s="18" t="s">
        <v>16</v>
      </c>
      <c r="U24" s="18" t="s">
        <v>16</v>
      </c>
      <c r="V24" s="18" t="s">
        <v>16</v>
      </c>
      <c r="W24" s="18" t="s">
        <v>16</v>
      </c>
      <c r="X24" s="18" t="s">
        <v>16</v>
      </c>
      <c r="Y24" s="18" t="s">
        <v>16</v>
      </c>
      <c r="Z24" s="19" t="e">
        <f t="shared" si="0"/>
        <v>#DIV/0!</v>
      </c>
      <c r="AA24" s="20">
        <v>19</v>
      </c>
      <c r="AB24" s="21">
        <f t="shared" si="1"/>
        <v>0</v>
      </c>
      <c r="AC24" s="21">
        <f t="shared" si="2"/>
        <v>0</v>
      </c>
    </row>
    <row r="25" spans="1:29" ht="14.25" customHeight="1" x14ac:dyDescent="0.25">
      <c r="A25" s="16">
        <v>20</v>
      </c>
      <c r="B25" s="18" t="s">
        <v>16</v>
      </c>
      <c r="C25" s="18" t="s">
        <v>16</v>
      </c>
      <c r="D25" s="18" t="s">
        <v>16</v>
      </c>
      <c r="E25" s="18" t="s">
        <v>16</v>
      </c>
      <c r="F25" s="18" t="s">
        <v>16</v>
      </c>
      <c r="G25" s="18" t="s">
        <v>16</v>
      </c>
      <c r="H25" s="18" t="s">
        <v>16</v>
      </c>
      <c r="I25" s="18" t="s">
        <v>16</v>
      </c>
      <c r="J25" s="18" t="s">
        <v>16</v>
      </c>
      <c r="K25" s="18" t="s">
        <v>16</v>
      </c>
      <c r="L25" s="18" t="s">
        <v>16</v>
      </c>
      <c r="M25" s="18" t="s">
        <v>16</v>
      </c>
      <c r="N25" s="18" t="s">
        <v>16</v>
      </c>
      <c r="O25" s="18" t="s">
        <v>16</v>
      </c>
      <c r="P25" s="18" t="s">
        <v>16</v>
      </c>
      <c r="Q25" s="18" t="s">
        <v>16</v>
      </c>
      <c r="R25" s="18" t="s">
        <v>16</v>
      </c>
      <c r="S25" s="18" t="s">
        <v>16</v>
      </c>
      <c r="T25" s="18" t="s">
        <v>16</v>
      </c>
      <c r="U25" s="18" t="s">
        <v>16</v>
      </c>
      <c r="V25" s="18" t="s">
        <v>16</v>
      </c>
      <c r="W25" s="18" t="s">
        <v>16</v>
      </c>
      <c r="X25" s="18" t="s">
        <v>16</v>
      </c>
      <c r="Y25" s="18" t="s">
        <v>16</v>
      </c>
      <c r="Z25" s="19" t="e">
        <f t="shared" si="0"/>
        <v>#DIV/0!</v>
      </c>
      <c r="AA25" s="20">
        <v>20</v>
      </c>
      <c r="AB25" s="21">
        <f t="shared" si="1"/>
        <v>0</v>
      </c>
      <c r="AC25" s="21">
        <f t="shared" si="2"/>
        <v>0</v>
      </c>
    </row>
    <row r="26" spans="1:29" ht="14.25" customHeight="1" x14ac:dyDescent="0.25">
      <c r="A26" s="16">
        <v>21</v>
      </c>
      <c r="B26" s="18" t="s">
        <v>16</v>
      </c>
      <c r="C26" s="18" t="s">
        <v>16</v>
      </c>
      <c r="D26" s="18" t="s">
        <v>16</v>
      </c>
      <c r="E26" s="18" t="s">
        <v>16</v>
      </c>
      <c r="F26" s="18" t="s">
        <v>16</v>
      </c>
      <c r="G26" s="18" t="s">
        <v>16</v>
      </c>
      <c r="H26" s="18" t="s">
        <v>16</v>
      </c>
      <c r="I26" s="18" t="s">
        <v>16</v>
      </c>
      <c r="J26" s="18" t="s">
        <v>16</v>
      </c>
      <c r="K26" s="18" t="s">
        <v>16</v>
      </c>
      <c r="L26" s="18" t="s">
        <v>16</v>
      </c>
      <c r="M26" s="18" t="s">
        <v>16</v>
      </c>
      <c r="N26" s="18" t="s">
        <v>16</v>
      </c>
      <c r="O26" s="18" t="s">
        <v>16</v>
      </c>
      <c r="P26" s="18" t="s">
        <v>16</v>
      </c>
      <c r="Q26" s="18" t="s">
        <v>16</v>
      </c>
      <c r="R26" s="18" t="s">
        <v>16</v>
      </c>
      <c r="S26" s="18" t="s">
        <v>16</v>
      </c>
      <c r="T26" s="18" t="s">
        <v>16</v>
      </c>
      <c r="U26" s="18" t="s">
        <v>16</v>
      </c>
      <c r="V26" s="18" t="s">
        <v>16</v>
      </c>
      <c r="W26" s="18" t="s">
        <v>16</v>
      </c>
      <c r="X26" s="18" t="s">
        <v>16</v>
      </c>
      <c r="Y26" s="18" t="s">
        <v>16</v>
      </c>
      <c r="Z26" s="19" t="e">
        <f t="shared" si="0"/>
        <v>#DIV/0!</v>
      </c>
      <c r="AA26" s="20">
        <v>21</v>
      </c>
      <c r="AB26" s="21">
        <f t="shared" si="1"/>
        <v>0</v>
      </c>
      <c r="AC26" s="21">
        <f t="shared" si="2"/>
        <v>0</v>
      </c>
    </row>
    <row r="27" spans="1:29" ht="14.25" customHeight="1" x14ac:dyDescent="0.25">
      <c r="A27" s="16">
        <v>22</v>
      </c>
      <c r="B27" s="18" t="s">
        <v>16</v>
      </c>
      <c r="C27" s="18" t="s">
        <v>16</v>
      </c>
      <c r="D27" s="18" t="s">
        <v>16</v>
      </c>
      <c r="E27" s="18" t="s">
        <v>16</v>
      </c>
      <c r="F27" s="18" t="s">
        <v>16</v>
      </c>
      <c r="G27" s="18" t="s">
        <v>16</v>
      </c>
      <c r="H27" s="18" t="s">
        <v>16</v>
      </c>
      <c r="I27" s="18" t="s">
        <v>16</v>
      </c>
      <c r="J27" s="18" t="s">
        <v>16</v>
      </c>
      <c r="K27" s="18" t="s">
        <v>16</v>
      </c>
      <c r="L27" s="18" t="s">
        <v>16</v>
      </c>
      <c r="M27" s="18" t="s">
        <v>16</v>
      </c>
      <c r="N27" s="18" t="s">
        <v>16</v>
      </c>
      <c r="O27" s="18" t="s">
        <v>16</v>
      </c>
      <c r="P27" s="18" t="s">
        <v>16</v>
      </c>
      <c r="Q27" s="18" t="s">
        <v>16</v>
      </c>
      <c r="R27" s="18" t="s">
        <v>16</v>
      </c>
      <c r="S27" s="18" t="s">
        <v>16</v>
      </c>
      <c r="T27" s="18" t="s">
        <v>16</v>
      </c>
      <c r="U27" s="18" t="s">
        <v>16</v>
      </c>
      <c r="V27" s="18" t="s">
        <v>16</v>
      </c>
      <c r="W27" s="18" t="s">
        <v>16</v>
      </c>
      <c r="X27" s="18" t="s">
        <v>16</v>
      </c>
      <c r="Y27" s="18" t="s">
        <v>16</v>
      </c>
      <c r="Z27" s="19" t="e">
        <f t="shared" si="0"/>
        <v>#DIV/0!</v>
      </c>
      <c r="AA27" s="20">
        <v>22</v>
      </c>
      <c r="AB27" s="21">
        <f t="shared" si="1"/>
        <v>0</v>
      </c>
      <c r="AC27" s="21">
        <f t="shared" si="2"/>
        <v>0</v>
      </c>
    </row>
    <row r="28" spans="1:29" ht="14.25" customHeight="1" x14ac:dyDescent="0.25">
      <c r="A28" s="16">
        <v>23</v>
      </c>
      <c r="B28" s="18" t="s">
        <v>16</v>
      </c>
      <c r="C28" s="18" t="s">
        <v>16</v>
      </c>
      <c r="D28" s="18" t="s">
        <v>16</v>
      </c>
      <c r="E28" s="18" t="s">
        <v>16</v>
      </c>
      <c r="F28" s="18" t="s">
        <v>16</v>
      </c>
      <c r="G28" s="18" t="s">
        <v>16</v>
      </c>
      <c r="H28" s="18" t="s">
        <v>16</v>
      </c>
      <c r="I28" s="18" t="s">
        <v>16</v>
      </c>
      <c r="J28" s="18" t="s">
        <v>16</v>
      </c>
      <c r="K28" s="18" t="s">
        <v>16</v>
      </c>
      <c r="L28" s="18" t="s">
        <v>16</v>
      </c>
      <c r="M28" s="18" t="s">
        <v>16</v>
      </c>
      <c r="N28" s="18" t="s">
        <v>16</v>
      </c>
      <c r="O28" s="18" t="s">
        <v>16</v>
      </c>
      <c r="P28" s="18" t="s">
        <v>16</v>
      </c>
      <c r="Q28" s="18" t="s">
        <v>16</v>
      </c>
      <c r="R28" s="18" t="s">
        <v>16</v>
      </c>
      <c r="S28" s="18" t="s">
        <v>16</v>
      </c>
      <c r="T28" s="18" t="s">
        <v>16</v>
      </c>
      <c r="U28" s="18" t="s">
        <v>16</v>
      </c>
      <c r="V28" s="18" t="s">
        <v>16</v>
      </c>
      <c r="W28" s="18" t="s">
        <v>16</v>
      </c>
      <c r="X28" s="18" t="s">
        <v>16</v>
      </c>
      <c r="Y28" s="18" t="s">
        <v>16</v>
      </c>
      <c r="Z28" s="19" t="e">
        <f t="shared" si="0"/>
        <v>#DIV/0!</v>
      </c>
      <c r="AA28" s="20">
        <v>23</v>
      </c>
      <c r="AB28" s="21">
        <f t="shared" si="1"/>
        <v>0</v>
      </c>
      <c r="AC28" s="21">
        <f t="shared" si="2"/>
        <v>0</v>
      </c>
    </row>
    <row r="29" spans="1:29" ht="14.25" customHeight="1" x14ac:dyDescent="0.25">
      <c r="A29" s="16">
        <v>24</v>
      </c>
      <c r="B29" s="18" t="s">
        <v>16</v>
      </c>
      <c r="C29" s="18" t="s">
        <v>16</v>
      </c>
      <c r="D29" s="18" t="s">
        <v>16</v>
      </c>
      <c r="E29" s="18" t="s">
        <v>16</v>
      </c>
      <c r="F29" s="18" t="s">
        <v>16</v>
      </c>
      <c r="G29" s="18" t="s">
        <v>16</v>
      </c>
      <c r="H29" s="18" t="s">
        <v>16</v>
      </c>
      <c r="I29" s="18" t="s">
        <v>16</v>
      </c>
      <c r="J29" s="18" t="s">
        <v>16</v>
      </c>
      <c r="K29" s="18" t="s">
        <v>16</v>
      </c>
      <c r="L29" s="18" t="s">
        <v>16</v>
      </c>
      <c r="M29" s="18" t="s">
        <v>16</v>
      </c>
      <c r="N29" s="18" t="s">
        <v>16</v>
      </c>
      <c r="O29" s="18" t="s">
        <v>16</v>
      </c>
      <c r="P29" s="18" t="s">
        <v>16</v>
      </c>
      <c r="Q29" s="18" t="s">
        <v>16</v>
      </c>
      <c r="R29" s="18" t="s">
        <v>16</v>
      </c>
      <c r="S29" s="18" t="s">
        <v>16</v>
      </c>
      <c r="T29" s="18" t="s">
        <v>16</v>
      </c>
      <c r="U29" s="18" t="s">
        <v>16</v>
      </c>
      <c r="V29" s="18" t="s">
        <v>16</v>
      </c>
      <c r="W29" s="18" t="s">
        <v>16</v>
      </c>
      <c r="X29" s="18" t="s">
        <v>16</v>
      </c>
      <c r="Y29" s="18" t="s">
        <v>16</v>
      </c>
      <c r="Z29" s="19" t="e">
        <f t="shared" si="0"/>
        <v>#DIV/0!</v>
      </c>
      <c r="AA29" s="20">
        <v>24</v>
      </c>
      <c r="AB29" s="21">
        <f t="shared" si="1"/>
        <v>0</v>
      </c>
      <c r="AC29" s="21">
        <f>MIN(B29:Y29)</f>
        <v>0</v>
      </c>
    </row>
    <row r="30" spans="1:29" ht="14.25" customHeight="1" x14ac:dyDescent="0.25">
      <c r="A30" s="16">
        <v>25</v>
      </c>
      <c r="B30" s="18" t="s">
        <v>16</v>
      </c>
      <c r="C30" s="18" t="s">
        <v>16</v>
      </c>
      <c r="D30" s="18" t="s">
        <v>16</v>
      </c>
      <c r="E30" s="18" t="s">
        <v>16</v>
      </c>
      <c r="F30" s="18" t="s">
        <v>16</v>
      </c>
      <c r="G30" s="18" t="s">
        <v>16</v>
      </c>
      <c r="H30" s="18" t="s">
        <v>16</v>
      </c>
      <c r="I30" s="18" t="s">
        <v>16</v>
      </c>
      <c r="J30" s="18" t="s">
        <v>16</v>
      </c>
      <c r="K30" s="18" t="s">
        <v>16</v>
      </c>
      <c r="L30" s="18" t="s">
        <v>16</v>
      </c>
      <c r="M30" s="18" t="s">
        <v>16</v>
      </c>
      <c r="N30" s="18" t="s">
        <v>16</v>
      </c>
      <c r="O30" s="18" t="s">
        <v>16</v>
      </c>
      <c r="P30" s="18" t="s">
        <v>16</v>
      </c>
      <c r="Q30" s="18" t="s">
        <v>16</v>
      </c>
      <c r="R30" s="18" t="s">
        <v>16</v>
      </c>
      <c r="S30" s="18" t="s">
        <v>16</v>
      </c>
      <c r="T30" s="18" t="s">
        <v>16</v>
      </c>
      <c r="U30" s="18" t="s">
        <v>16</v>
      </c>
      <c r="V30" s="18" t="s">
        <v>16</v>
      </c>
      <c r="W30" s="18" t="s">
        <v>16</v>
      </c>
      <c r="X30" s="18" t="s">
        <v>16</v>
      </c>
      <c r="Y30" s="18" t="s">
        <v>16</v>
      </c>
      <c r="Z30" s="19" t="e">
        <f t="shared" si="0"/>
        <v>#DIV/0!</v>
      </c>
      <c r="AA30" s="20">
        <v>25</v>
      </c>
      <c r="AB30" s="21">
        <f t="shared" si="1"/>
        <v>0</v>
      </c>
      <c r="AC30" s="21">
        <f t="shared" si="2"/>
        <v>0</v>
      </c>
    </row>
    <row r="31" spans="1:29" ht="14.25" customHeight="1" x14ac:dyDescent="0.25">
      <c r="A31" s="16">
        <v>26</v>
      </c>
      <c r="B31" s="18" t="s">
        <v>16</v>
      </c>
      <c r="C31" s="18" t="s">
        <v>16</v>
      </c>
      <c r="D31" s="18" t="s">
        <v>16</v>
      </c>
      <c r="E31" s="18" t="s">
        <v>16</v>
      </c>
      <c r="F31" s="18" t="s">
        <v>16</v>
      </c>
      <c r="G31" s="18" t="s">
        <v>16</v>
      </c>
      <c r="H31" s="18" t="s">
        <v>16</v>
      </c>
      <c r="I31" s="18" t="s">
        <v>16</v>
      </c>
      <c r="J31" s="18" t="s">
        <v>16</v>
      </c>
      <c r="K31" s="18" t="s">
        <v>16</v>
      </c>
      <c r="L31" s="18" t="s">
        <v>16</v>
      </c>
      <c r="M31" s="18" t="s">
        <v>16</v>
      </c>
      <c r="N31" s="18" t="s">
        <v>16</v>
      </c>
      <c r="O31" s="18" t="s">
        <v>16</v>
      </c>
      <c r="P31" s="18" t="s">
        <v>16</v>
      </c>
      <c r="Q31" s="18" t="s">
        <v>16</v>
      </c>
      <c r="R31" s="18" t="s">
        <v>16</v>
      </c>
      <c r="S31" s="18" t="s">
        <v>16</v>
      </c>
      <c r="T31" s="18" t="s">
        <v>16</v>
      </c>
      <c r="U31" s="18" t="s">
        <v>16</v>
      </c>
      <c r="V31" s="18" t="s">
        <v>16</v>
      </c>
      <c r="W31" s="18" t="s">
        <v>16</v>
      </c>
      <c r="X31" s="18" t="s">
        <v>16</v>
      </c>
      <c r="Y31" s="18" t="s">
        <v>16</v>
      </c>
      <c r="Z31" s="19" t="e">
        <f t="shared" si="0"/>
        <v>#DIV/0!</v>
      </c>
      <c r="AA31" s="20">
        <v>26</v>
      </c>
      <c r="AB31" s="21">
        <f t="shared" si="1"/>
        <v>0</v>
      </c>
      <c r="AC31" s="21">
        <f>MIN(B31:Y31)</f>
        <v>0</v>
      </c>
    </row>
    <row r="32" spans="1:29" ht="14.25" customHeight="1" x14ac:dyDescent="0.25">
      <c r="A32" s="16">
        <v>27</v>
      </c>
      <c r="B32" s="18" t="s">
        <v>16</v>
      </c>
      <c r="C32" s="18" t="s">
        <v>16</v>
      </c>
      <c r="D32" s="18" t="s">
        <v>16</v>
      </c>
      <c r="E32" s="18" t="s">
        <v>16</v>
      </c>
      <c r="F32" s="18" t="s">
        <v>16</v>
      </c>
      <c r="G32" s="18" t="s">
        <v>16</v>
      </c>
      <c r="H32" s="18" t="s">
        <v>16</v>
      </c>
      <c r="I32" s="18" t="s">
        <v>16</v>
      </c>
      <c r="J32" s="18" t="s">
        <v>16</v>
      </c>
      <c r="K32" s="18" t="s">
        <v>16</v>
      </c>
      <c r="L32" s="18" t="s">
        <v>16</v>
      </c>
      <c r="M32" s="18" t="s">
        <v>16</v>
      </c>
      <c r="N32" s="18" t="s">
        <v>16</v>
      </c>
      <c r="O32" s="18" t="s">
        <v>16</v>
      </c>
      <c r="P32" s="18" t="s">
        <v>16</v>
      </c>
      <c r="Q32" s="18" t="s">
        <v>16</v>
      </c>
      <c r="R32" s="18" t="s">
        <v>16</v>
      </c>
      <c r="S32" s="18" t="s">
        <v>16</v>
      </c>
      <c r="T32" s="18" t="s">
        <v>16</v>
      </c>
      <c r="U32" s="18" t="s">
        <v>16</v>
      </c>
      <c r="V32" s="18" t="s">
        <v>16</v>
      </c>
      <c r="W32" s="18" t="s">
        <v>16</v>
      </c>
      <c r="X32" s="18" t="s">
        <v>16</v>
      </c>
      <c r="Y32" s="18" t="s">
        <v>16</v>
      </c>
      <c r="Z32" s="19" t="e">
        <f t="shared" si="0"/>
        <v>#DIV/0!</v>
      </c>
      <c r="AA32" s="20">
        <v>27</v>
      </c>
      <c r="AB32" s="21">
        <f t="shared" si="1"/>
        <v>0</v>
      </c>
      <c r="AC32" s="21">
        <f t="shared" si="2"/>
        <v>0</v>
      </c>
    </row>
    <row r="33" spans="1:29" ht="14.25" customHeight="1" x14ac:dyDescent="0.25">
      <c r="A33" s="16">
        <v>28</v>
      </c>
      <c r="B33" s="18" t="s">
        <v>16</v>
      </c>
      <c r="C33" s="18" t="s">
        <v>16</v>
      </c>
      <c r="D33" s="18" t="s">
        <v>16</v>
      </c>
      <c r="E33" s="18" t="s">
        <v>16</v>
      </c>
      <c r="F33" s="18" t="s">
        <v>16</v>
      </c>
      <c r="G33" s="18" t="s">
        <v>16</v>
      </c>
      <c r="H33" s="18" t="s">
        <v>16</v>
      </c>
      <c r="I33" s="18" t="s">
        <v>16</v>
      </c>
      <c r="J33" s="18" t="s">
        <v>16</v>
      </c>
      <c r="K33" s="18" t="s">
        <v>16</v>
      </c>
      <c r="L33" s="18" t="s">
        <v>16</v>
      </c>
      <c r="M33" s="18" t="s">
        <v>16</v>
      </c>
      <c r="N33" s="18" t="s">
        <v>16</v>
      </c>
      <c r="O33" s="18" t="s">
        <v>16</v>
      </c>
      <c r="P33" s="18" t="s">
        <v>16</v>
      </c>
      <c r="Q33" s="18" t="s">
        <v>16</v>
      </c>
      <c r="R33" s="18" t="s">
        <v>16</v>
      </c>
      <c r="S33" s="18" t="s">
        <v>16</v>
      </c>
      <c r="T33" s="18" t="s">
        <v>16</v>
      </c>
      <c r="U33" s="18" t="s">
        <v>16</v>
      </c>
      <c r="V33" s="18" t="s">
        <v>16</v>
      </c>
      <c r="W33" s="18" t="s">
        <v>16</v>
      </c>
      <c r="X33" s="18" t="s">
        <v>16</v>
      </c>
      <c r="Y33" s="18" t="s">
        <v>16</v>
      </c>
      <c r="Z33" s="19" t="e">
        <f t="shared" si="0"/>
        <v>#DIV/0!</v>
      </c>
      <c r="AA33" s="20">
        <v>28</v>
      </c>
      <c r="AB33" s="21">
        <f t="shared" si="1"/>
        <v>0</v>
      </c>
      <c r="AC33" s="21">
        <f t="shared" si="2"/>
        <v>0</v>
      </c>
    </row>
    <row r="34" spans="1:29" ht="14.25" customHeight="1" x14ac:dyDescent="0.25">
      <c r="A34" s="16">
        <v>29</v>
      </c>
      <c r="B34" s="18" t="s">
        <v>16</v>
      </c>
      <c r="C34" s="18" t="s">
        <v>16</v>
      </c>
      <c r="D34" s="18" t="s">
        <v>16</v>
      </c>
      <c r="E34" s="18" t="s">
        <v>16</v>
      </c>
      <c r="F34" s="18" t="s">
        <v>16</v>
      </c>
      <c r="G34" s="18" t="s">
        <v>16</v>
      </c>
      <c r="H34" s="18" t="s">
        <v>16</v>
      </c>
      <c r="I34" s="18" t="s">
        <v>16</v>
      </c>
      <c r="J34" s="18" t="s">
        <v>16</v>
      </c>
      <c r="K34" s="18" t="s">
        <v>16</v>
      </c>
      <c r="L34" s="18" t="s">
        <v>16</v>
      </c>
      <c r="M34" s="18" t="s">
        <v>16</v>
      </c>
      <c r="N34" s="18" t="s">
        <v>16</v>
      </c>
      <c r="O34" s="18" t="s">
        <v>16</v>
      </c>
      <c r="P34" s="18" t="s">
        <v>16</v>
      </c>
      <c r="Q34" s="18" t="s">
        <v>16</v>
      </c>
      <c r="R34" s="18" t="s">
        <v>16</v>
      </c>
      <c r="S34" s="18" t="s">
        <v>16</v>
      </c>
      <c r="T34" s="18" t="s">
        <v>16</v>
      </c>
      <c r="U34" s="18" t="s">
        <v>16</v>
      </c>
      <c r="V34" s="18" t="s">
        <v>16</v>
      </c>
      <c r="W34" s="18" t="s">
        <v>16</v>
      </c>
      <c r="X34" s="18" t="s">
        <v>16</v>
      </c>
      <c r="Y34" s="18" t="s">
        <v>16</v>
      </c>
      <c r="Z34" s="19" t="e">
        <f t="shared" si="0"/>
        <v>#DIV/0!</v>
      </c>
      <c r="AA34" s="20">
        <v>29</v>
      </c>
      <c r="AB34" s="21">
        <f t="shared" si="1"/>
        <v>0</v>
      </c>
      <c r="AC34" s="21">
        <f t="shared" si="2"/>
        <v>0</v>
      </c>
    </row>
    <row r="35" spans="1:29" ht="14.25" customHeight="1" x14ac:dyDescent="0.25">
      <c r="A35" s="16">
        <v>30</v>
      </c>
      <c r="B35" s="18" t="s">
        <v>16</v>
      </c>
      <c r="C35" s="18" t="s">
        <v>16</v>
      </c>
      <c r="D35" s="18" t="s">
        <v>16</v>
      </c>
      <c r="E35" s="18" t="s">
        <v>16</v>
      </c>
      <c r="F35" s="18" t="s">
        <v>16</v>
      </c>
      <c r="G35" s="18" t="s">
        <v>16</v>
      </c>
      <c r="H35" s="18" t="s">
        <v>16</v>
      </c>
      <c r="I35" s="18" t="s">
        <v>16</v>
      </c>
      <c r="J35" s="18" t="s">
        <v>16</v>
      </c>
      <c r="K35" s="18" t="s">
        <v>16</v>
      </c>
      <c r="L35" s="18" t="s">
        <v>16</v>
      </c>
      <c r="M35" s="18" t="s">
        <v>16</v>
      </c>
      <c r="N35" s="18" t="s">
        <v>16</v>
      </c>
      <c r="O35" s="18" t="s">
        <v>16</v>
      </c>
      <c r="P35" s="18" t="s">
        <v>16</v>
      </c>
      <c r="Q35" s="18" t="s">
        <v>16</v>
      </c>
      <c r="R35" s="18" t="s">
        <v>16</v>
      </c>
      <c r="S35" s="18" t="s">
        <v>16</v>
      </c>
      <c r="T35" s="18" t="s">
        <v>16</v>
      </c>
      <c r="U35" s="18" t="s">
        <v>16</v>
      </c>
      <c r="V35" s="18" t="s">
        <v>16</v>
      </c>
      <c r="W35" s="18" t="s">
        <v>16</v>
      </c>
      <c r="X35" s="18" t="s">
        <v>16</v>
      </c>
      <c r="Y35" s="18" t="s">
        <v>16</v>
      </c>
      <c r="Z35" s="19" t="e">
        <f t="shared" si="0"/>
        <v>#DIV/0!</v>
      </c>
      <c r="AA35" s="20">
        <v>30</v>
      </c>
      <c r="AB35" s="21">
        <f t="shared" si="1"/>
        <v>0</v>
      </c>
      <c r="AC35" s="21">
        <f>MIN(B35:Y35)</f>
        <v>0</v>
      </c>
    </row>
    <row r="36" spans="1:29" ht="14.25" customHeight="1" x14ac:dyDescent="0.25">
      <c r="A36" s="16">
        <v>31</v>
      </c>
      <c r="B36" s="18" t="s">
        <v>16</v>
      </c>
      <c r="C36" s="18" t="s">
        <v>16</v>
      </c>
      <c r="D36" s="18" t="s">
        <v>16</v>
      </c>
      <c r="E36" s="18" t="s">
        <v>16</v>
      </c>
      <c r="F36" s="18" t="s">
        <v>16</v>
      </c>
      <c r="G36" s="18" t="s">
        <v>16</v>
      </c>
      <c r="H36" s="18" t="s">
        <v>16</v>
      </c>
      <c r="I36" s="18" t="s">
        <v>16</v>
      </c>
      <c r="J36" s="18" t="s">
        <v>16</v>
      </c>
      <c r="K36" s="18" t="s">
        <v>16</v>
      </c>
      <c r="L36" s="18" t="s">
        <v>16</v>
      </c>
      <c r="M36" s="18" t="s">
        <v>16</v>
      </c>
      <c r="N36" s="18" t="s">
        <v>16</v>
      </c>
      <c r="O36" s="18" t="s">
        <v>16</v>
      </c>
      <c r="P36" s="18" t="s">
        <v>16</v>
      </c>
      <c r="Q36" s="18" t="s">
        <v>16</v>
      </c>
      <c r="R36" s="18" t="s">
        <v>16</v>
      </c>
      <c r="S36" s="18" t="s">
        <v>16</v>
      </c>
      <c r="T36" s="18" t="s">
        <v>16</v>
      </c>
      <c r="U36" s="18" t="s">
        <v>16</v>
      </c>
      <c r="V36" s="18" t="s">
        <v>16</v>
      </c>
      <c r="W36" s="18" t="s">
        <v>16</v>
      </c>
      <c r="X36" s="18" t="s">
        <v>16</v>
      </c>
      <c r="Y36" s="18" t="s">
        <v>16</v>
      </c>
      <c r="Z36" s="19" t="e">
        <f t="shared" si="0"/>
        <v>#DIV/0!</v>
      </c>
      <c r="AA36" s="20">
        <v>31</v>
      </c>
      <c r="AB36" s="21">
        <f t="shared" si="1"/>
        <v>0</v>
      </c>
      <c r="AC36" s="21">
        <f t="shared" si="2"/>
        <v>0</v>
      </c>
    </row>
    <row r="37" spans="1:29" ht="14.25" customHeight="1" x14ac:dyDescent="0.2">
      <c r="A37" s="16" t="s">
        <v>9</v>
      </c>
      <c r="B37" s="18"/>
      <c r="C37" s="18"/>
      <c r="D37" s="18"/>
      <c r="E37" s="18"/>
      <c r="F37" s="18"/>
      <c r="G37" s="18"/>
      <c r="H37" s="18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19" t="e">
        <f>AVERAGE(Z6:Z36)</f>
        <v>#DIV/0!</v>
      </c>
      <c r="AA37" s="10"/>
      <c r="AB37" s="10"/>
      <c r="AC37" s="10"/>
    </row>
    <row r="38" spans="1:29" ht="14.25" customHeight="1" x14ac:dyDescent="0.2">
      <c r="A38" s="16" t="s">
        <v>13</v>
      </c>
      <c r="B38" s="25"/>
      <c r="C38" s="25"/>
      <c r="D38" s="25"/>
      <c r="E38" s="26">
        <f>AVERAGE(E6:E36)</f>
        <v>20.796666666666667</v>
      </c>
      <c r="F38" s="25"/>
      <c r="G38" s="25"/>
      <c r="H38" s="25"/>
      <c r="I38" s="27"/>
      <c r="J38" s="27">
        <f>AVERAGE(J6:J36)</f>
        <v>20.8</v>
      </c>
      <c r="K38" s="27"/>
      <c r="L38" s="27"/>
      <c r="M38" s="27"/>
      <c r="N38" s="27"/>
      <c r="O38" s="27"/>
      <c r="P38" s="27"/>
      <c r="Q38" s="27"/>
      <c r="R38" s="27"/>
      <c r="S38" s="25"/>
      <c r="T38" s="25"/>
      <c r="U38" s="25"/>
      <c r="V38" s="25"/>
      <c r="W38" s="25"/>
      <c r="X38" s="25"/>
      <c r="Y38" s="26" t="e">
        <f>AVERAGE(Y6:Y36)</f>
        <v>#DIV/0!</v>
      </c>
      <c r="Z38" s="19" t="e">
        <f>AVERAGE(E38,J38,Y38)</f>
        <v>#DIV/0!</v>
      </c>
      <c r="AA38" s="28" t="s">
        <v>14</v>
      </c>
      <c r="AB38" s="29">
        <f>AVERAGE(AB6:AB36)</f>
        <v>2.0129032258064519</v>
      </c>
      <c r="AC38" s="29">
        <f>AVERAGE(AC6:AC36)</f>
        <v>2.0125806451612904</v>
      </c>
    </row>
    <row r="39" spans="1:29" x14ac:dyDescent="0.2">
      <c r="B39" s="30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I.T PC 2nd Floor</dc:creator>
  <cp:lastModifiedBy>Admin</cp:lastModifiedBy>
  <dcterms:created xsi:type="dcterms:W3CDTF">2023-03-07T03:07:14Z</dcterms:created>
  <dcterms:modified xsi:type="dcterms:W3CDTF">2024-11-28T02:47:58Z</dcterms:modified>
</cp:coreProperties>
</file>